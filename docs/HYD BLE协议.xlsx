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BLE协议" sheetId="1" r:id="rId1"/>
    <sheet name="模式值" sheetId="2" r:id="rId2"/>
    <sheet name="BLE服务" sheetId="3" r:id="rId3"/>
    <sheet name="桌灯场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<sst xmlns="http://schemas.openxmlformats.org/spreadsheetml/2006/main" count="620" uniqueCount="429">
  <si>
    <t>0x1D</t>
  </si>
  <si>
    <t>0x00</t>
  </si>
  <si>
    <t>01</t>
  </si>
  <si>
    <t>0xff</t>
  </si>
  <si>
    <t>0xD1</t>
  </si>
  <si>
    <r>
      <rPr>
        <b/>
        <sz val="11"/>
        <color theme="1"/>
        <rFont val="宋体"/>
        <charset val="134"/>
        <scheme val="minor"/>
      </rPr>
      <t xml:space="preserve">查询设备信息
</t>
    </r>
    <r>
      <rPr>
        <b/>
        <sz val="11"/>
        <color theme="5" tint="-0.25"/>
        <rFont val="宋体"/>
        <charset val="134"/>
        <scheme val="minor"/>
      </rPr>
      <t>Byte2</t>
    </r>
    <r>
      <rPr>
        <sz val="11"/>
        <color theme="1"/>
        <rFont val="宋体"/>
        <charset val="134"/>
        <scheme val="minor"/>
      </rPr>
      <t>: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1 表示查询命令；2 表示设备返回数据，长度见下</t>
    </r>
  </si>
  <si>
    <r>
      <rPr>
        <b/>
        <i/>
        <sz val="10"/>
        <color theme="5" tint="-0.25"/>
        <rFont val="黑体"/>
        <charset val="134"/>
      </rPr>
      <t>注</t>
    </r>
    <r>
      <rPr>
        <i/>
        <sz val="10"/>
        <color theme="5" tint="-0.25"/>
        <rFont val="黑体"/>
        <charset val="134"/>
      </rPr>
      <t>: 0xff 表示不设置，一般也表示该字节作保留用</t>
    </r>
  </si>
  <si>
    <t>02</t>
  </si>
  <si>
    <t>0f/0</t>
  </si>
  <si>
    <t>0-255</t>
  </si>
  <si>
    <t>0-100</t>
  </si>
  <si>
    <t>01/02</t>
  </si>
  <si>
    <t>212/33</t>
  </si>
  <si>
    <t>设备返回数据，长 14 字节</t>
  </si>
  <si>
    <t>开/关</t>
  </si>
  <si>
    <t>红</t>
  </si>
  <si>
    <t>绿</t>
  </si>
  <si>
    <t>蓝</t>
  </si>
  <si>
    <t>白</t>
  </si>
  <si>
    <t>亮度</t>
  </si>
  <si>
    <t>经典/场景</t>
  </si>
  <si>
    <t>模式号</t>
  </si>
  <si>
    <t>速度</t>
  </si>
  <si>
    <t>0x01</t>
  </si>
  <si>
    <t>0-4</t>
  </si>
  <si>
    <r>
      <rPr>
        <b/>
        <sz val="11"/>
        <color theme="1"/>
        <rFont val="宋体"/>
        <charset val="134"/>
        <scheme val="minor"/>
      </rPr>
      <t>设置亮度</t>
    </r>
    <r>
      <rPr>
        <sz val="11"/>
        <color theme="1"/>
        <rFont val="宋体"/>
        <charset val="134"/>
        <scheme val="minor"/>
      </rPr>
      <t xml:space="preserve">。
</t>
    </r>
    <r>
      <rPr>
        <b/>
        <sz val="11"/>
        <color theme="5" tint="-0.25"/>
        <rFont val="宋体"/>
        <charset val="134"/>
        <scheme val="minor"/>
      </rPr>
      <t>Byte2</t>
    </r>
    <r>
      <rPr>
        <sz val="11"/>
        <color theme="1"/>
        <rFont val="宋体"/>
        <charset val="134"/>
        <scheme val="minor"/>
      </rPr>
      <t>: 设置亮度对象
0 表示 RGB 彩灯、W 白灯 和 CT 黄灯；
1 表示 RGB 彩灯；
2 表示 W 白灯；
3 表示 CT 黄灯；
4 表示 WCT 黄白灯；</t>
    </r>
  </si>
  <si>
    <t>设置对象</t>
  </si>
  <si>
    <t>0x02</t>
  </si>
  <si>
    <r>
      <rPr>
        <b/>
        <sz val="11"/>
        <color theme="1"/>
        <rFont val="宋体"/>
        <charset val="134"/>
        <scheme val="minor"/>
      </rPr>
      <t>设置速度</t>
    </r>
    <r>
      <rPr>
        <sz val="11"/>
        <color theme="1"/>
        <rFont val="宋体"/>
        <charset val="134"/>
        <scheme val="minor"/>
      </rPr>
      <t>。</t>
    </r>
  </si>
  <si>
    <t>0x03</t>
  </si>
  <si>
    <t>1/2</t>
  </si>
  <si>
    <r>
      <rPr>
        <b/>
        <sz val="11"/>
        <color theme="1"/>
        <rFont val="宋体"/>
        <charset val="134"/>
        <scheme val="minor"/>
      </rPr>
      <t>设置模式</t>
    </r>
    <r>
      <rPr>
        <sz val="11"/>
        <color theme="1"/>
        <rFont val="宋体"/>
        <charset val="134"/>
        <scheme val="minor"/>
      </rPr>
      <t xml:space="preserve">。
</t>
    </r>
    <r>
      <rPr>
        <b/>
        <sz val="11"/>
        <color theme="5" tint="-0.25"/>
        <rFont val="宋体"/>
        <charset val="134"/>
        <scheme val="minor"/>
      </rPr>
      <t>Byte2</t>
    </r>
    <r>
      <rPr>
        <sz val="11"/>
        <color theme="1"/>
        <rFont val="宋体"/>
        <charset val="134"/>
        <scheme val="minor"/>
      </rPr>
      <t xml:space="preserve">: 
1 表示经典模式，经典模式号范围 0-212；
2 表示场景模式，场景模式号 1-33；
具体对应的模式场景效果见附录幻彩模式表； </t>
    </r>
  </si>
  <si>
    <t>0x04</t>
  </si>
  <si>
    <t>0-6</t>
  </si>
  <si>
    <r>
      <rPr>
        <b/>
        <sz val="11"/>
        <color theme="1"/>
        <rFont val="宋体"/>
        <charset val="134"/>
        <scheme val="minor"/>
      </rPr>
      <t>开关灯</t>
    </r>
    <r>
      <rPr>
        <sz val="11"/>
        <color theme="1"/>
        <rFont val="宋体"/>
        <charset val="134"/>
        <scheme val="minor"/>
      </rPr>
      <t xml:space="preserve">。0x0f 表示开灯，0 表示关灯
</t>
    </r>
    <r>
      <rPr>
        <b/>
        <sz val="11"/>
        <color theme="5" tint="-0.25"/>
        <rFont val="宋体"/>
        <charset val="134"/>
        <scheme val="minor"/>
      </rPr>
      <t>Byte2</t>
    </r>
    <r>
      <rPr>
        <sz val="11"/>
        <color theme="1"/>
        <rFont val="宋体"/>
        <charset val="134"/>
        <scheme val="minor"/>
      </rPr>
      <t>: 开关对象。
0 表示 RGB 彩灯、W 白灯 和 CT 黄灯；
1 表示 RGB 彩灯；
2 表示 W 白灯； 
3 表示 CT 黄灯；
4 表示 RGB 彩灯 和 W 白灯；
5 表示 RGB 彩灯 和 CT 黄灯；
6 表示 WCT 黄白灯；</t>
    </r>
  </si>
  <si>
    <t>开关对象</t>
  </si>
  <si>
    <t>开关灯</t>
  </si>
  <si>
    <t>0x05</t>
  </si>
  <si>
    <t>255/100</t>
  </si>
  <si>
    <r>
      <rPr>
        <sz val="11"/>
        <color theme="1"/>
        <rFont val="宋体"/>
        <charset val="134"/>
        <scheme val="minor"/>
      </rPr>
      <t xml:space="preserve">  </t>
    </r>
    <r>
      <rPr>
        <b/>
        <sz val="11"/>
        <color theme="1"/>
        <rFont val="宋体"/>
        <charset val="134"/>
        <scheme val="minor"/>
      </rPr>
      <t>设置颜色。</t>
    </r>
    <r>
      <rPr>
        <sz val="11"/>
        <color theme="1"/>
        <rFont val="宋体"/>
        <charset val="134"/>
        <scheme val="minor"/>
      </rPr>
      <t xml:space="preserve">设置 RGBWC 颜色;
  </t>
    </r>
    <r>
      <rPr>
        <b/>
        <sz val="11"/>
        <color theme="5" tint="-0.25"/>
        <rFont val="宋体"/>
        <charset val="134"/>
        <scheme val="minor"/>
      </rPr>
      <t>Byte2</t>
    </r>
    <r>
      <rPr>
        <sz val="11"/>
        <color theme="1"/>
        <rFont val="宋体"/>
        <charset val="134"/>
        <scheme val="minor"/>
      </rPr>
      <t xml:space="preserve">: 控制灯珠类。
  0 保留；
  1 表示设置 RGB 彩灯颜色值； 
  2 表示设置 W 白灯色值；
  3 表示设置 CT 黄灯色值；
  4 表示设置 WCT 白灯和黄灯色值；
  </t>
    </r>
    <r>
      <rPr>
        <b/>
        <sz val="11"/>
        <color theme="5" tint="-0.25"/>
        <rFont val="宋体"/>
        <charset val="134"/>
        <scheme val="minor"/>
      </rPr>
      <t>Byte3</t>
    </r>
    <r>
      <rPr>
        <sz val="11"/>
        <color theme="1"/>
        <rFont val="宋体"/>
        <charset val="134"/>
        <scheme val="minor"/>
      </rPr>
      <t xml:space="preserve">: 
  Byte2 == 1 时表示红色值   0-255；
  Byte2 == 2 时表示白灯色值 0-100；
  Byte2 == 3 时表示黄灯色值 0-100；
  Byte2 == 4 时表示白灯色值 0-100；
  </t>
    </r>
    <r>
      <rPr>
        <b/>
        <sz val="11"/>
        <color theme="5" tint="-0.25"/>
        <rFont val="宋体"/>
        <charset val="134"/>
        <scheme val="minor"/>
      </rPr>
      <t>Byte4</t>
    </r>
    <r>
      <rPr>
        <sz val="11"/>
        <color theme="1"/>
        <rFont val="宋体"/>
        <charset val="134"/>
        <scheme val="minor"/>
      </rPr>
      <t>: 
  Byte2 == 4 时表示黄灯色值 0-100；</t>
    </r>
  </si>
  <si>
    <t>灯珠类</t>
  </si>
  <si>
    <t>黄</t>
  </si>
  <si>
    <t>0x06</t>
  </si>
  <si>
    <t>1-8</t>
  </si>
  <si>
    <t>设置麦克风律动效果。</t>
  </si>
  <si>
    <t>律动效果</t>
  </si>
  <si>
    <t>0x07</t>
  </si>
  <si>
    <t>设置麦克风灵敏度。</t>
  </si>
  <si>
    <t>灵敏度</t>
  </si>
  <si>
    <t>0x08</t>
  </si>
  <si>
    <r>
      <rPr>
        <b/>
        <sz val="11"/>
        <color theme="1"/>
        <rFont val="宋体"/>
        <charset val="134"/>
        <scheme val="minor"/>
      </rPr>
      <t>设置灯珠点数。</t>
    </r>
    <r>
      <rPr>
        <sz val="11"/>
        <color theme="1"/>
        <rFont val="宋体"/>
        <charset val="134"/>
        <scheme val="minor"/>
      </rPr>
      <t>范围 10-1000</t>
    </r>
  </si>
  <si>
    <t>低8位</t>
  </si>
  <si>
    <t>高8位</t>
  </si>
  <si>
    <t>0x09</t>
  </si>
  <si>
    <t>1-6</t>
  </si>
  <si>
    <r>
      <rPr>
        <b/>
        <sz val="11"/>
        <color theme="1"/>
        <rFont val="宋体"/>
        <charset val="134"/>
        <scheme val="minor"/>
      </rPr>
      <t>设置线序</t>
    </r>
    <r>
      <rPr>
        <sz val="11"/>
        <color theme="1"/>
        <rFont val="宋体"/>
        <charset val="134"/>
        <scheme val="minor"/>
      </rPr>
      <t>：1 到 6 分别对应 
          RGB，RBG，BRG，BGR，GRB，GBR</t>
    </r>
  </si>
  <si>
    <t>线序号</t>
  </si>
  <si>
    <t>0x0A</t>
  </si>
  <si>
    <t>1/2/3</t>
  </si>
  <si>
    <t>0F/0</t>
  </si>
  <si>
    <t>0-23</t>
  </si>
  <si>
    <t>0-59</t>
  </si>
  <si>
    <r>
      <rPr>
        <sz val="11"/>
        <color theme="1"/>
        <rFont val="宋体"/>
        <charset val="134"/>
        <scheme val="minor"/>
      </rPr>
      <t xml:space="preserve">  </t>
    </r>
    <r>
      <rPr>
        <b/>
        <sz val="11"/>
        <color theme="1"/>
        <rFont val="宋体"/>
        <charset val="134"/>
        <scheme val="minor"/>
      </rPr>
      <t>设置定时</t>
    </r>
    <r>
      <rPr>
        <sz val="11"/>
        <color theme="1"/>
        <rFont val="宋体"/>
        <charset val="134"/>
        <scheme val="minor"/>
      </rPr>
      <t xml:space="preserve">
  </t>
    </r>
    <r>
      <rPr>
        <b/>
        <sz val="11"/>
        <color theme="5" tint="-0.249977111117893"/>
        <rFont val="宋体"/>
        <charset val="134"/>
        <scheme val="minor"/>
      </rPr>
      <t>Byte2</t>
    </r>
    <r>
      <rPr>
        <sz val="11"/>
        <color theme="1"/>
        <rFont val="宋体"/>
        <charset val="134"/>
        <scheme val="minor"/>
      </rPr>
      <t xml:space="preserve">: 
  1 表示设置设备定时命令; 
  2 表示查询设备定时命令; 
  3 表示设备返回定时数据
  </t>
    </r>
    <r>
      <rPr>
        <b/>
        <sz val="11"/>
        <color theme="5" tint="-0.249977111117893"/>
        <rFont val="宋体"/>
        <charset val="134"/>
        <scheme val="minor"/>
      </rPr>
      <t>Byte7</t>
    </r>
    <r>
      <rPr>
        <sz val="11"/>
        <color theme="1"/>
        <rFont val="宋体"/>
        <charset val="134"/>
        <scheme val="minor"/>
      </rPr>
      <t>: 周循环按照比特位表示，最高比特位表示定时是否
  生效，从第 0 比特位开始到第 6 比特位，分别表示周一到
  周日每周几循环生效定时</t>
    </r>
  </si>
  <si>
    <t>时</t>
  </si>
  <si>
    <t>分</t>
  </si>
  <si>
    <t>周循环</t>
  </si>
  <si>
    <t>0x0B</t>
  </si>
  <si>
    <t>1-7</t>
  </si>
  <si>
    <r>
      <rPr>
        <b/>
        <sz val="11"/>
        <color theme="5" tint="-0.249977111117893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设置或查询当前时间</t>
    </r>
    <r>
      <rPr>
        <b/>
        <sz val="11"/>
        <color theme="5" tint="-0.249977111117893"/>
        <rFont val="宋体"/>
        <charset val="134"/>
        <scheme val="minor"/>
      </rPr>
      <t xml:space="preserve">
  Byte2</t>
    </r>
    <r>
      <rPr>
        <sz val="11"/>
        <color theme="1"/>
        <rFont val="宋体"/>
        <charset val="134"/>
        <scheme val="minor"/>
      </rPr>
      <t xml:space="preserve">: 1 表示设置当前时间，2 表示查询返回当前时间;
  </t>
    </r>
    <r>
      <rPr>
        <b/>
        <sz val="11"/>
        <color theme="5" tint="-0.25"/>
        <rFont val="宋体"/>
        <charset val="134"/>
        <scheme val="minor"/>
      </rPr>
      <t>Byte5</t>
    </r>
    <r>
      <rPr>
        <sz val="11"/>
        <color theme="1"/>
        <rFont val="宋体"/>
        <charset val="134"/>
        <scheme val="minor"/>
      </rPr>
      <t>: 1 表示周日，2-7 表示周一到周六</t>
    </r>
  </si>
  <si>
    <t>设置/查询</t>
  </si>
  <si>
    <t>秒</t>
  </si>
  <si>
    <t>周</t>
  </si>
  <si>
    <t>0x0C</t>
  </si>
  <si>
    <t>2e</t>
  </si>
  <si>
    <t>设备复位</t>
  </si>
  <si>
    <t>复位</t>
  </si>
  <si>
    <t>0x15</t>
  </si>
  <si>
    <t xml:space="preserve">设备状态查询
</t>
  </si>
  <si>
    <t xml:space="preserve">设备灯状态
</t>
  </si>
  <si>
    <t>开关</t>
  </si>
  <si>
    <t>0x16</t>
  </si>
  <si>
    <t>获取定时信息</t>
  </si>
  <si>
    <t>0/1</t>
  </si>
  <si>
    <t>设备上传定时信息</t>
  </si>
  <si>
    <t>开灯定时</t>
  </si>
  <si>
    <t>关灯定时</t>
  </si>
  <si>
    <t>0关闭</t>
  </si>
  <si>
    <t>1启动</t>
  </si>
  <si>
    <t>经典效果</t>
  </si>
  <si>
    <t>十六进制</t>
  </si>
  <si>
    <t>场景效果</t>
  </si>
  <si>
    <t>效果号</t>
  </si>
  <si>
    <t>麦克风效果</t>
  </si>
  <si>
    <t>自动循环</t>
  </si>
  <si>
    <t>日出</t>
  </si>
  <si>
    <t>能量1</t>
  </si>
  <si>
    <t>正向幻彩</t>
  </si>
  <si>
    <t>日落</t>
  </si>
  <si>
    <t>能量2</t>
  </si>
  <si>
    <t>反向幻彩</t>
  </si>
  <si>
    <t>生日</t>
  </si>
  <si>
    <t>韵律1</t>
  </si>
  <si>
    <t>正向七色明暗过渡</t>
  </si>
  <si>
    <t>烛光</t>
  </si>
  <si>
    <t>韵律2</t>
  </si>
  <si>
    <t>反向七色明暗过渡</t>
  </si>
  <si>
    <t>烟花</t>
  </si>
  <si>
    <t>频谱1</t>
  </si>
  <si>
    <t>正向红绿蓝明暗过渡</t>
  </si>
  <si>
    <t>聚会</t>
  </si>
  <si>
    <t>频谱2</t>
  </si>
  <si>
    <t>反向红绿蓝明暗过渡</t>
  </si>
  <si>
    <t>约会</t>
  </si>
  <si>
    <t>滚动1</t>
  </si>
  <si>
    <t>正向黄青紫明暗过渡</t>
  </si>
  <si>
    <t>星空</t>
  </si>
  <si>
    <t>滚动2</t>
  </si>
  <si>
    <t>反向黄青紫明暗过渡</t>
  </si>
  <si>
    <t>浪漫</t>
  </si>
  <si>
    <t>正向六色明暗过渡红色</t>
  </si>
  <si>
    <t>迪斯科</t>
  </si>
  <si>
    <t>反向六色明暗过渡红色</t>
  </si>
  <si>
    <t>彩虹</t>
  </si>
  <si>
    <t>正向六色明暗过渡绿色</t>
  </si>
  <si>
    <t>电影</t>
  </si>
  <si>
    <t>反向六色明暗过渡绿色</t>
  </si>
  <si>
    <t>圣诞夜</t>
  </si>
  <si>
    <t>正向六色明暗过渡蓝色</t>
  </si>
  <si>
    <t>流水</t>
  </si>
  <si>
    <t>反向六色明暗过渡蓝色</t>
  </si>
  <si>
    <t>睡眠</t>
  </si>
  <si>
    <t>正向六色明暗过渡青色</t>
  </si>
  <si>
    <t>海洋</t>
  </si>
  <si>
    <t>反向六色明暗过渡青色</t>
  </si>
  <si>
    <t>森林</t>
  </si>
  <si>
    <t>正向六色明暗过渡黄色</t>
  </si>
  <si>
    <t>阅读</t>
  </si>
  <si>
    <t>反向六色明暗过渡黄色</t>
  </si>
  <si>
    <t>工作</t>
  </si>
  <si>
    <t>正向六色明暗过渡紫色</t>
  </si>
  <si>
    <t>炫彩</t>
  </si>
  <si>
    <t>反向六色明暗过渡紫色</t>
  </si>
  <si>
    <t>柔和</t>
  </si>
  <si>
    <t>正向六色明暗过渡白色</t>
  </si>
  <si>
    <t>结婚纪念日</t>
  </si>
  <si>
    <t>反向六色明暗过渡白色</t>
  </si>
  <si>
    <t>雪花</t>
  </si>
  <si>
    <t>正向七彩拖尾</t>
  </si>
  <si>
    <t>火焰</t>
  </si>
  <si>
    <t>反向七彩拖尾</t>
  </si>
  <si>
    <t>闪电</t>
  </si>
  <si>
    <t>正向红色拖尾</t>
  </si>
  <si>
    <t>情人节</t>
  </si>
  <si>
    <t>反向红色拖尾</t>
  </si>
  <si>
    <t>万圣节</t>
  </si>
  <si>
    <t>正向绿色拖尾</t>
  </si>
  <si>
    <t>警报</t>
  </si>
  <si>
    <t>反向绿色拖尾</t>
  </si>
  <si>
    <t>时光机</t>
  </si>
  <si>
    <t>正向蓝色拖尾</t>
  </si>
  <si>
    <t>时光机2</t>
  </si>
  <si>
    <t>反向蓝色拖尾</t>
  </si>
  <si>
    <t>流星</t>
  </si>
  <si>
    <t>正向黄色拖尾</t>
  </si>
  <si>
    <t>流星2</t>
  </si>
  <si>
    <t>反向黄色拖尾</t>
  </si>
  <si>
    <t>烟花秀</t>
  </si>
  <si>
    <t>正向青色拖尾</t>
  </si>
  <si>
    <t>反向青色拖尾</t>
  </si>
  <si>
    <t>正向紫色拖尾</t>
  </si>
  <si>
    <t>反向紫色拖尾</t>
  </si>
  <si>
    <t>正向白色拖尾</t>
  </si>
  <si>
    <t>反向白色拖尾</t>
  </si>
  <si>
    <t>正向七彩流水</t>
  </si>
  <si>
    <t>反向七彩流水</t>
  </si>
  <si>
    <t>正向红绿蓝流水</t>
  </si>
  <si>
    <t>反向红绿蓝流水</t>
  </si>
  <si>
    <t>正向黄青紫流水</t>
  </si>
  <si>
    <t>反向黄青紫流水</t>
  </si>
  <si>
    <t>正向红绿流水</t>
  </si>
  <si>
    <t>反向红绿流水</t>
  </si>
  <si>
    <t>正向绿蓝流水</t>
  </si>
  <si>
    <t>反向绿蓝流水</t>
  </si>
  <si>
    <t>正向黄蓝流水</t>
  </si>
  <si>
    <t>反向黄蓝流水</t>
  </si>
  <si>
    <t>正向黄青流水</t>
  </si>
  <si>
    <t>反向黄青流水</t>
  </si>
  <si>
    <t>正向青紫流水</t>
  </si>
  <si>
    <t>反向青紫流水</t>
  </si>
  <si>
    <t>正向黑白流水</t>
  </si>
  <si>
    <t>反向黑白流水</t>
  </si>
  <si>
    <t>七彩闭幕</t>
  </si>
  <si>
    <t>七彩拉幕</t>
  </si>
  <si>
    <t>红绿蓝闭幕</t>
  </si>
  <si>
    <t>红绿蓝拉幕</t>
  </si>
  <si>
    <t>黄青紫闭幕</t>
  </si>
  <si>
    <t>黄青紫拉幕</t>
  </si>
  <si>
    <t>红色闭幕</t>
  </si>
  <si>
    <t>红色拉幕</t>
  </si>
  <si>
    <t>绿色闭幕</t>
  </si>
  <si>
    <t>绿色拉幕</t>
  </si>
  <si>
    <t>蓝色闭幕</t>
  </si>
  <si>
    <t>蓝色拉幕</t>
  </si>
  <si>
    <t>黄色闭幕</t>
  </si>
  <si>
    <t>黄色拉幕</t>
  </si>
  <si>
    <t>青色闭幕</t>
  </si>
  <si>
    <t>青色拉幕</t>
  </si>
  <si>
    <t>紫色闭幕</t>
  </si>
  <si>
    <t>紫色拉幕</t>
  </si>
  <si>
    <t>白色闭幕</t>
  </si>
  <si>
    <t>白色拉幕</t>
  </si>
  <si>
    <t>正向七彩追光</t>
  </si>
  <si>
    <t>反向七彩追光</t>
  </si>
  <si>
    <t>正向红绿蓝追光</t>
  </si>
  <si>
    <t>反向红绿蓝追光</t>
  </si>
  <si>
    <t>正向黄青紫追光</t>
  </si>
  <si>
    <t>反向黄青紫追光</t>
  </si>
  <si>
    <t>正向七彩飘动</t>
  </si>
  <si>
    <t>反向七彩飘动</t>
  </si>
  <si>
    <t>正向红绿蓝飘动</t>
  </si>
  <si>
    <t>反向红绿蓝飘动</t>
  </si>
  <si>
    <t>正向黄青紫飘动</t>
  </si>
  <si>
    <t>反向黄青紫飘动</t>
  </si>
  <si>
    <t>正向红色跑动</t>
  </si>
  <si>
    <t>反向红色跑动</t>
  </si>
  <si>
    <t>正向绿色跑动</t>
  </si>
  <si>
    <t>反向绿色跑动</t>
  </si>
  <si>
    <t>正向蓝色跑动</t>
  </si>
  <si>
    <t>反向蓝色跑动</t>
  </si>
  <si>
    <t>正向黄色跑动</t>
  </si>
  <si>
    <t>反向黄色跑动</t>
  </si>
  <si>
    <t>正向青色跑动</t>
  </si>
  <si>
    <t>反向青色跑动</t>
  </si>
  <si>
    <t>正向紫色跑动</t>
  </si>
  <si>
    <t>反向紫色跑动</t>
  </si>
  <si>
    <t>正向白色跑动</t>
  </si>
  <si>
    <t>反向白色跑动</t>
  </si>
  <si>
    <t>正向七色跑动</t>
  </si>
  <si>
    <t>反向七色跑动</t>
  </si>
  <si>
    <t>正向红绿蓝跑动</t>
  </si>
  <si>
    <t>反向红绿蓝跑动</t>
  </si>
  <si>
    <t>正向黄青紫跑动</t>
  </si>
  <si>
    <t>反向黄青紫跑动</t>
  </si>
  <si>
    <t>正向蓝紫青黄跑动</t>
  </si>
  <si>
    <t>反向蓝紫青黄跑动</t>
  </si>
  <si>
    <t>正向蓝绿青黄跑动</t>
  </si>
  <si>
    <t>反向蓝绿青黄跑动</t>
  </si>
  <si>
    <t>正向白底红点跑动</t>
  </si>
  <si>
    <t>反向白底红点跑动</t>
  </si>
  <si>
    <t>正向红底绿点跑动</t>
  </si>
  <si>
    <t>反向红底绿点跑动</t>
  </si>
  <si>
    <t>正向绿底蓝点跑动</t>
  </si>
  <si>
    <t>反向绿底蓝点跑动</t>
  </si>
  <si>
    <t>正向蓝底黄点跑动</t>
  </si>
  <si>
    <t>反向蓝底黄点跑动</t>
  </si>
  <si>
    <t>正向黄底青点跑动</t>
  </si>
  <si>
    <t>反向黄底青点跑动</t>
  </si>
  <si>
    <t>正向青底紫点跑动</t>
  </si>
  <si>
    <t>反向青底紫点跑动</t>
  </si>
  <si>
    <t>正向紫底白点跑动</t>
  </si>
  <si>
    <t>反向紫底白点跑动</t>
  </si>
  <si>
    <t>正向红底白点跑动</t>
  </si>
  <si>
    <t>反向红底白点跑动</t>
  </si>
  <si>
    <t>正向红底七色跑动</t>
  </si>
  <si>
    <t>反向红底七色跑动</t>
  </si>
  <si>
    <t>正向绿底七色跑动</t>
  </si>
  <si>
    <t>反向绿底七色跑动</t>
  </si>
  <si>
    <t>正向蓝底七色跑动</t>
  </si>
  <si>
    <t>反向蓝底七色跑动</t>
  </si>
  <si>
    <t>正向黄底七色跑动</t>
  </si>
  <si>
    <t>反向黄底七色跑动</t>
  </si>
  <si>
    <t>正向青底七色跑动</t>
  </si>
  <si>
    <t>反向青底七色跑动</t>
  </si>
  <si>
    <t>正向紫底七色跑动</t>
  </si>
  <si>
    <t>反向紫底七色跑动</t>
  </si>
  <si>
    <t>正向白底七色跑动</t>
  </si>
  <si>
    <t>反向白底七色跑动</t>
  </si>
  <si>
    <t>正向白红白流动</t>
  </si>
  <si>
    <t>反向白红白流动</t>
  </si>
  <si>
    <t>正向白绿白流动</t>
  </si>
  <si>
    <t>反向白绿白流动</t>
  </si>
  <si>
    <t>正向白蓝白流动</t>
  </si>
  <si>
    <t>反向白蓝白流动</t>
  </si>
  <si>
    <t>正向白黄白流动</t>
  </si>
  <si>
    <t>反向白黄白流动</t>
  </si>
  <si>
    <t>正向白青白流动</t>
  </si>
  <si>
    <t>反向白青白流动</t>
  </si>
  <si>
    <t>正向白紫白流动</t>
  </si>
  <si>
    <t>反向白紫白流动</t>
  </si>
  <si>
    <t>正向红白红流动</t>
  </si>
  <si>
    <t>反向红白红流动</t>
  </si>
  <si>
    <t>正向绿白绿流动</t>
  </si>
  <si>
    <t>反向绿白绿流动</t>
  </si>
  <si>
    <t>正向蓝白蓝流动</t>
  </si>
  <si>
    <t>反向蓝白蓝流动</t>
  </si>
  <si>
    <t>正向黄白黄流动</t>
  </si>
  <si>
    <t>反向黄白黄流动</t>
  </si>
  <si>
    <t>正向青白青流动</t>
  </si>
  <si>
    <t>反向青白青流动</t>
  </si>
  <si>
    <t>正向紫白紫流动</t>
  </si>
  <si>
    <t>反向紫白紫流动</t>
  </si>
  <si>
    <t>正向蓝底绿点跑动</t>
  </si>
  <si>
    <t>反向蓝底绿点跑动</t>
  </si>
  <si>
    <t>正向蓝底红点跑动</t>
  </si>
  <si>
    <t>反向蓝底红点跑动</t>
  </si>
  <si>
    <t>正向紫底黄点跑动</t>
  </si>
  <si>
    <t>反向紫底黄点跑动</t>
  </si>
  <si>
    <t>正向黄底白点跑动</t>
  </si>
  <si>
    <t>反向黄底白点跑动</t>
  </si>
  <si>
    <t>正向白底黄点跑动</t>
  </si>
  <si>
    <t>反向白底黄点跑动</t>
  </si>
  <si>
    <t>正向七彩刷色</t>
  </si>
  <si>
    <t>反向七彩刷色</t>
  </si>
  <si>
    <t>正向红绿蓝刷色</t>
  </si>
  <si>
    <t>反向红绿蓝刷色</t>
  </si>
  <si>
    <t>正向黄青紫刷色</t>
  </si>
  <si>
    <t>反向黄青紫刷色</t>
  </si>
  <si>
    <t>七彩刷色闭幕</t>
  </si>
  <si>
    <t>七彩刷色拉幕</t>
  </si>
  <si>
    <t>红绿蓝刷色闭幕</t>
  </si>
  <si>
    <t>红绿蓝刷色拉幕</t>
  </si>
  <si>
    <t>黄青紫刷色闭幕</t>
  </si>
  <si>
    <t>黄青紫刷色拉幕</t>
  </si>
  <si>
    <t>七色跳变</t>
  </si>
  <si>
    <t>红绿蓝跳变</t>
  </si>
  <si>
    <t>黄青紫跳变</t>
  </si>
  <si>
    <t>七色频闪</t>
  </si>
  <si>
    <t>红绿蓝频闪</t>
  </si>
  <si>
    <t>黄青紫频闪</t>
  </si>
  <si>
    <t>七色渐变</t>
  </si>
  <si>
    <t>红黄交替渐变</t>
  </si>
  <si>
    <t>红紫交替渐变</t>
  </si>
  <si>
    <t>绿青交替渐变</t>
  </si>
  <si>
    <t>绿黄交替渐变</t>
  </si>
  <si>
    <t>蓝紫交替渐变</t>
  </si>
  <si>
    <t>红色跑马</t>
  </si>
  <si>
    <t>绿色跑马</t>
  </si>
  <si>
    <t>蓝色跑马</t>
  </si>
  <si>
    <t>黄色跑马</t>
  </si>
  <si>
    <t>青色跑马</t>
  </si>
  <si>
    <t>紫色跑马</t>
  </si>
  <si>
    <t>白色跑马</t>
  </si>
  <si>
    <t>七彩能量</t>
  </si>
  <si>
    <t>特别七色25点开幕</t>
  </si>
  <si>
    <t>红橙暗亮暗过渡流水</t>
  </si>
  <si>
    <t>黄绿暗亮暗过渡流水</t>
  </si>
  <si>
    <t>绿色暗亮暗过渡流水</t>
  </si>
  <si>
    <t>青蓝暗亮暗过渡流水</t>
  </si>
  <si>
    <t>蓝色暗亮暗过渡流水</t>
  </si>
  <si>
    <t>紫色暗亮暗过渡流水</t>
  </si>
  <si>
    <t>红色暗亮暗过渡流水</t>
  </si>
  <si>
    <t>七色堆砌</t>
  </si>
  <si>
    <t>橙色堆砌</t>
  </si>
  <si>
    <t>黄绿堆砌</t>
  </si>
  <si>
    <t>绿色堆砌</t>
  </si>
  <si>
    <t>青蓝堆砌</t>
  </si>
  <si>
    <t>蓝色堆砌</t>
  </si>
  <si>
    <t>紫色堆砌</t>
  </si>
  <si>
    <t>红色堆砌</t>
  </si>
  <si>
    <t>七彩渐变</t>
  </si>
  <si>
    <t>七彩过渡</t>
  </si>
  <si>
    <t>红紫过渡</t>
  </si>
  <si>
    <t>黄白过渡</t>
  </si>
  <si>
    <t>黄橙过渡</t>
  </si>
  <si>
    <t>UUID 服务特征</t>
  </si>
  <si>
    <t xml:space="preserve"> PRIMARY_SERVICE</t>
  </si>
  <si>
    <t xml:space="preserve"> 0xFFF0</t>
  </si>
  <si>
    <t xml:space="preserve"> CHARACTERISTIC</t>
  </si>
  <si>
    <t xml:space="preserve"> 0xFFF4</t>
  </si>
  <si>
    <t xml:space="preserve"> NOTIFY | DYNAMIC</t>
  </si>
  <si>
    <t xml:space="preserve"> 0xFFF3</t>
  </si>
  <si>
    <t xml:space="preserve"> WRITE_WITHOUT_RESPONSE | READ | DYNAMIC</t>
  </si>
  <si>
    <t>场景名称</t>
  </si>
  <si>
    <t>场景号</t>
  </si>
  <si>
    <t xml:space="preserve">春风 </t>
  </si>
  <si>
    <t xml:space="preserve">天空 </t>
  </si>
  <si>
    <t>萤火虫</t>
  </si>
  <si>
    <t xml:space="preserve">樱花  </t>
  </si>
  <si>
    <t xml:space="preserve">山林  </t>
  </si>
  <si>
    <t>羽毛</t>
  </si>
  <si>
    <t>湖</t>
  </si>
  <si>
    <t xml:space="preserve">厨房香气 </t>
  </si>
  <si>
    <t xml:space="preserve">梦幻 </t>
  </si>
  <si>
    <t xml:space="preserve">快乐 </t>
  </si>
  <si>
    <t>0x0a</t>
  </si>
  <si>
    <t xml:space="preserve">安慰的 </t>
  </si>
  <si>
    <t>0x0b</t>
  </si>
  <si>
    <t>陪伴</t>
  </si>
  <si>
    <t>0x0c</t>
  </si>
  <si>
    <t xml:space="preserve">治愈 </t>
  </si>
  <si>
    <t>0x0d</t>
  </si>
  <si>
    <t xml:space="preserve"> 森林 </t>
  </si>
  <si>
    <t>0x0e</t>
  </si>
  <si>
    <t>极光</t>
  </si>
  <si>
    <t>0x0f</t>
  </si>
  <si>
    <t>0x10</t>
  </si>
  <si>
    <t xml:space="preserve">涟漪 </t>
  </si>
  <si>
    <t>0x2a</t>
  </si>
  <si>
    <t>0x12</t>
  </si>
  <si>
    <t xml:space="preserve">星空 </t>
  </si>
  <si>
    <t>0x13</t>
  </si>
  <si>
    <t xml:space="preserve">闪电 </t>
  </si>
  <si>
    <t>0x14</t>
  </si>
  <si>
    <t>0x2b</t>
  </si>
  <si>
    <t xml:space="preserve">海浪 </t>
  </si>
  <si>
    <t>0x17</t>
  </si>
  <si>
    <t>麦浪</t>
  </si>
  <si>
    <t>0x18</t>
  </si>
  <si>
    <t>0x19</t>
  </si>
  <si>
    <t xml:space="preserve">圣诞节 </t>
  </si>
  <si>
    <t>0x1a</t>
  </si>
  <si>
    <t>0x1b</t>
  </si>
  <si>
    <t>复活节</t>
  </si>
  <si>
    <t>0x1c</t>
  </si>
  <si>
    <t>0x21d</t>
  </si>
  <si>
    <t>狂欢节</t>
  </si>
  <si>
    <t>0x1e</t>
  </si>
  <si>
    <t>0x1f</t>
  </si>
  <si>
    <t>0x20</t>
  </si>
  <si>
    <t>0x21</t>
  </si>
  <si>
    <t>0x22</t>
  </si>
  <si>
    <t>0x23</t>
  </si>
  <si>
    <t>0x24</t>
  </si>
  <si>
    <t>0x25</t>
  </si>
  <si>
    <t xml:space="preserve">睡眠 </t>
  </si>
  <si>
    <t>0x26</t>
  </si>
  <si>
    <t>0x27</t>
  </si>
  <si>
    <t>0x28</t>
  </si>
  <si>
    <t>0x29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</si>
</sst>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0"/>
      <color theme="5" tint="-0.25"/>
      <name val="黑体"/>
      <charset val="134"/>
    </font>
    <font>
      <i/>
      <sz val="10"/>
      <color theme="5" tint="-0.25"/>
      <name val="黑体"/>
      <charset val="134"/>
    </font>
    <font>
      <b/>
      <sz val="11"/>
      <color theme="8" tint="0.399975585192419"/>
      <name val="微软雅黑 Light"/>
      <charset val="134"/>
    </font>
    <font>
      <b/>
      <sz val="11"/>
      <color theme="8" tint="0.399975585192419"/>
      <name val="宋体"/>
      <charset val="134"/>
      <scheme val="minor"/>
    </font>
    <font>
      <b/>
      <sz val="11"/>
      <color theme="4"/>
      <name val="宋体"/>
      <charset val="134"/>
      <scheme val="minor"/>
    </font>
    <font>
      <b/>
      <sz val="11"/>
      <color theme="4"/>
      <name val="微软雅黑 Light"/>
      <charset val="134"/>
    </font>
    <font>
      <sz val="11"/>
      <color theme="4"/>
      <name val="宋体"/>
      <charset val="134"/>
      <scheme val="minor"/>
    </font>
    <font>
      <b/>
      <sz val="11"/>
      <color theme="5" tint="-0.24997711111789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5" tint="-0.25"/>
      <name val="宋体"/>
      <charset val="134"/>
      <scheme val="minor"/>
    </font>
    <font>
      <b/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8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indent="1"/>
    </xf>
    <xf numFmtId="0" fontId="6" fillId="3" borderId="11" xfId="0" applyFont="1" applyFill="1" applyBorder="1" applyAlignment="1">
      <alignment horizontal="left" vertical="center" indent="1"/>
    </xf>
    <xf numFmtId="0" fontId="3" fillId="0" borderId="4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indent="1"/>
    </xf>
    <xf numFmtId="0" fontId="0" fillId="0" borderId="5" xfId="0" applyFill="1" applyBorder="1" applyAlignment="1">
      <alignment horizontal="left" vertical="center" indent="1"/>
    </xf>
    <xf numFmtId="0" fontId="0" fillId="0" borderId="6" xfId="0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indent="1"/>
    </xf>
    <xf numFmtId="0" fontId="0" fillId="3" borderId="0" xfId="0" applyFill="1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0" fillId="3" borderId="6" xfId="0" applyFill="1" applyBorder="1" applyAlignment="1">
      <alignment horizontal="left" vertical="center" indent="1"/>
    </xf>
    <xf numFmtId="0" fontId="0" fillId="3" borderId="4" xfId="0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left" vertical="center" wrapText="1" indent="1"/>
    </xf>
    <xf numFmtId="0" fontId="0" fillId="0" borderId="6" xfId="0" applyFill="1" applyBorder="1" applyAlignment="1">
      <alignment horizontal="left" vertical="center" wrapText="1" indent="1"/>
    </xf>
    <xf numFmtId="0" fontId="0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3" xfId="0" applyFill="1" applyBorder="1" applyAlignment="1">
      <alignment horizontal="left" vertical="center" wrapText="1" indent="1"/>
    </xf>
    <xf numFmtId="0" fontId="0" fillId="3" borderId="5" xfId="0" applyFill="1" applyBorder="1" applyAlignment="1">
      <alignment horizontal="left" vertical="center" wrapText="1" indent="1"/>
    </xf>
    <xf numFmtId="0" fontId="0" fillId="3" borderId="6" xfId="0" applyFill="1" applyBorder="1" applyAlignment="1">
      <alignment horizontal="left" vertical="center" wrapText="1" indent="1"/>
    </xf>
    <xf numFmtId="0" fontId="0" fillId="3" borderId="4" xfId="0" applyFill="1" applyBorder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49" fontId="4" fillId="3" borderId="2" xfId="0" applyNumberFormat="1" applyFont="1" applyFill="1" applyBorder="1" applyAlignment="1">
      <alignment horizontal="left" vertical="center" wrapText="1" indent="1"/>
    </xf>
    <xf numFmtId="49" fontId="0" fillId="3" borderId="3" xfId="0" applyNumberFormat="1" applyFill="1" applyBorder="1" applyAlignment="1">
      <alignment horizontal="left" vertical="center" wrapText="1" indent="1"/>
    </xf>
    <xf numFmtId="49" fontId="0" fillId="3" borderId="5" xfId="0" applyNumberFormat="1" applyFill="1" applyBorder="1" applyAlignment="1">
      <alignment horizontal="left" vertical="center" wrapText="1" indent="1"/>
    </xf>
    <xf numFmtId="49" fontId="0" fillId="3" borderId="6" xfId="0" applyNumberFormat="1" applyFill="1" applyBorder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7" xfId="0" applyFill="1" applyBorder="1" applyAlignment="1">
      <alignment horizontal="left" vertical="center" indent="1"/>
    </xf>
    <xf numFmtId="0" fontId="0" fillId="0" borderId="9" xfId="0" applyFill="1" applyBorder="1" applyAlignment="1">
      <alignment horizontal="left" vertical="center" indent="1"/>
    </xf>
    <xf numFmtId="0" fontId="6" fillId="3" borderId="12" xfId="0" applyFont="1" applyFill="1" applyBorder="1" applyAlignment="1">
      <alignment horizontal="left" vertical="center" inden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indent="1"/>
    </xf>
    <xf numFmtId="0" fontId="0" fillId="3" borderId="8" xfId="0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left" vertical="center" wrapText="1" indent="1"/>
    </xf>
    <xf numFmtId="0" fontId="0" fillId="0" borderId="8" xfId="0" applyFill="1" applyBorder="1" applyAlignment="1">
      <alignment horizontal="left" vertical="center" wrapText="1" indent="1"/>
    </xf>
    <xf numFmtId="0" fontId="0" fillId="0" borderId="9" xfId="0" applyFill="1" applyBorder="1" applyAlignment="1">
      <alignment horizontal="left" vertical="center" wrapText="1" indent="1"/>
    </xf>
    <xf numFmtId="0" fontId="0" fillId="3" borderId="7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 indent="1"/>
    </xf>
    <xf numFmtId="0" fontId="0" fillId="3" borderId="9" xfId="0" applyFill="1" applyBorder="1" applyAlignment="1">
      <alignment horizontal="left" vertical="center" wrapText="1" indent="1"/>
    </xf>
    <xf numFmtId="0" fontId="0" fillId="3" borderId="8" xfId="0" applyFill="1" applyBorder="1" applyAlignment="1">
      <alignment horizontal="left" vertical="center" wrapText="1" indent="1"/>
    </xf>
    <xf numFmtId="49" fontId="0" fillId="3" borderId="7" xfId="0" applyNumberFormat="1" applyFill="1" applyBorder="1" applyAlignment="1">
      <alignment horizontal="left" vertical="center" wrapText="1" indent="1"/>
    </xf>
    <xf numFmtId="49" fontId="0" fillId="3" borderId="9" xfId="0" applyNumberFormat="1" applyFill="1" applyBorder="1" applyAlignment="1">
      <alignment horizontal="left" vertical="center" wrapText="1" inden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3" borderId="8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tabSelected="1" topLeftCell="A41" workbookViewId="0">
      <selection activeCell="N75" sqref="N75"/>
    </sheetView>
  </sheetViews>
  <sheetFormatPr defaultColWidth="9.23076923076923" defaultRowHeight="16.8"/>
  <cols>
    <col min="15" max="15" width="27.3942307692308" customWidth="1"/>
  </cols>
  <sheetData>
    <row r="1" spans="1:15">
      <c r="A1" s="25" t="s">
        <v>0</v>
      </c>
      <c r="B1" s="26" t="s">
        <v>1</v>
      </c>
      <c r="C1" s="26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44" t="s">
        <v>4</v>
      </c>
      <c r="J1" s="45" t="s">
        <v>5</v>
      </c>
      <c r="K1" s="46"/>
      <c r="L1" s="46"/>
      <c r="M1" s="46"/>
      <c r="N1" s="46"/>
      <c r="O1" s="83"/>
    </row>
    <row r="2" spans="1:15">
      <c r="A2" s="14"/>
      <c r="B2" s="27"/>
      <c r="C2" s="15"/>
      <c r="D2" s="15"/>
      <c r="E2" s="15"/>
      <c r="F2" s="15"/>
      <c r="G2" s="15"/>
      <c r="H2" s="15"/>
      <c r="I2" s="15"/>
      <c r="J2" s="47"/>
      <c r="K2" s="48"/>
      <c r="L2" s="48"/>
      <c r="M2" s="48"/>
      <c r="N2" s="48"/>
      <c r="O2" s="84"/>
    </row>
    <row r="3" spans="1:15">
      <c r="A3" s="28" t="s">
        <v>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85"/>
    </row>
    <row r="4" spans="1:15">
      <c r="A4" s="30" t="s">
        <v>0</v>
      </c>
      <c r="B4" s="31" t="s">
        <v>1</v>
      </c>
      <c r="C4" s="31" t="s">
        <v>7</v>
      </c>
      <c r="D4" s="32" t="s">
        <v>8</v>
      </c>
      <c r="E4" s="32" t="s">
        <v>9</v>
      </c>
      <c r="F4" s="32" t="s">
        <v>9</v>
      </c>
      <c r="G4" s="32" t="s">
        <v>9</v>
      </c>
      <c r="H4" s="32" t="s">
        <v>10</v>
      </c>
      <c r="I4" s="32" t="s">
        <v>10</v>
      </c>
      <c r="J4" s="31" t="s">
        <v>11</v>
      </c>
      <c r="K4" s="36" t="s">
        <v>12</v>
      </c>
      <c r="L4" s="32" t="s">
        <v>10</v>
      </c>
      <c r="M4" s="9" t="s">
        <v>3</v>
      </c>
      <c r="N4" s="51" t="s">
        <v>4</v>
      </c>
      <c r="O4" s="86" t="s">
        <v>13</v>
      </c>
    </row>
    <row r="5" spans="1:15">
      <c r="A5" s="14"/>
      <c r="B5" s="27"/>
      <c r="C5" s="15"/>
      <c r="D5" s="33" t="s">
        <v>14</v>
      </c>
      <c r="E5" s="33" t="s">
        <v>15</v>
      </c>
      <c r="F5" s="33" t="s">
        <v>16</v>
      </c>
      <c r="G5" s="33" t="s">
        <v>17</v>
      </c>
      <c r="H5" s="33" t="s">
        <v>18</v>
      </c>
      <c r="I5" s="33" t="s">
        <v>19</v>
      </c>
      <c r="J5" s="33" t="s">
        <v>20</v>
      </c>
      <c r="K5" s="33" t="s">
        <v>21</v>
      </c>
      <c r="L5" s="33" t="s">
        <v>22</v>
      </c>
      <c r="M5" s="15"/>
      <c r="N5" s="15"/>
      <c r="O5" s="87"/>
    </row>
    <row r="6" spans="1:15">
      <c r="A6" s="34"/>
      <c r="B6" s="35"/>
      <c r="C6" s="4"/>
      <c r="D6" s="4"/>
      <c r="E6" s="4"/>
      <c r="F6" s="4"/>
      <c r="G6" s="4"/>
      <c r="H6" s="4"/>
      <c r="I6" s="4"/>
      <c r="J6" s="34"/>
      <c r="K6" s="4"/>
      <c r="L6" s="4"/>
      <c r="M6" s="4"/>
      <c r="N6" s="4"/>
      <c r="O6" s="18"/>
    </row>
    <row r="7" spans="1:15">
      <c r="A7" s="25" t="s">
        <v>0</v>
      </c>
      <c r="B7" s="26" t="s">
        <v>23</v>
      </c>
      <c r="C7" s="36" t="s">
        <v>24</v>
      </c>
      <c r="D7" s="36" t="s">
        <v>10</v>
      </c>
      <c r="E7" s="6" t="s">
        <v>3</v>
      </c>
      <c r="F7" s="6" t="s">
        <v>3</v>
      </c>
      <c r="G7" s="6" t="s">
        <v>3</v>
      </c>
      <c r="H7" s="6" t="s">
        <v>3</v>
      </c>
      <c r="I7" s="44" t="s">
        <v>4</v>
      </c>
      <c r="J7" s="49" t="s">
        <v>25</v>
      </c>
      <c r="K7" s="50"/>
      <c r="L7" s="50"/>
      <c r="M7" s="50"/>
      <c r="N7" s="50"/>
      <c r="O7" s="88"/>
    </row>
    <row r="8" spans="1:15">
      <c r="A8" s="30"/>
      <c r="B8" s="31"/>
      <c r="C8" s="37" t="s">
        <v>26</v>
      </c>
      <c r="D8" s="37" t="s">
        <v>19</v>
      </c>
      <c r="E8" s="9"/>
      <c r="F8" s="9"/>
      <c r="G8" s="9"/>
      <c r="H8" s="9"/>
      <c r="I8" s="51"/>
      <c r="J8" s="52"/>
      <c r="K8" s="53"/>
      <c r="L8" s="53"/>
      <c r="M8" s="53"/>
      <c r="N8" s="53"/>
      <c r="O8" s="89"/>
    </row>
    <row r="9" spans="1:15">
      <c r="A9" s="30"/>
      <c r="B9" s="31"/>
      <c r="C9" s="38"/>
      <c r="D9" s="38"/>
      <c r="E9" s="9"/>
      <c r="F9" s="9"/>
      <c r="G9" s="9"/>
      <c r="H9" s="9"/>
      <c r="I9" s="51"/>
      <c r="J9" s="52"/>
      <c r="K9" s="53"/>
      <c r="L9" s="53"/>
      <c r="M9" s="53"/>
      <c r="N9" s="53"/>
      <c r="O9" s="89"/>
    </row>
    <row r="10" spans="1:15">
      <c r="A10" s="30"/>
      <c r="B10" s="31"/>
      <c r="C10" s="38"/>
      <c r="D10" s="38"/>
      <c r="E10" s="9"/>
      <c r="F10" s="9"/>
      <c r="G10" s="9"/>
      <c r="H10" s="9"/>
      <c r="I10" s="51"/>
      <c r="J10" s="52"/>
      <c r="K10" s="53"/>
      <c r="L10" s="53"/>
      <c r="M10" s="53"/>
      <c r="N10" s="53"/>
      <c r="O10" s="89"/>
    </row>
    <row r="11" spans="1:15">
      <c r="A11" s="30"/>
      <c r="B11" s="31"/>
      <c r="C11" s="38"/>
      <c r="D11" s="38"/>
      <c r="E11" s="9"/>
      <c r="F11" s="9"/>
      <c r="G11" s="9"/>
      <c r="H11" s="9"/>
      <c r="I11" s="51"/>
      <c r="J11" s="52"/>
      <c r="K11" s="53"/>
      <c r="L11" s="53"/>
      <c r="M11" s="53"/>
      <c r="N11" s="53"/>
      <c r="O11" s="89"/>
    </row>
    <row r="12" spans="1:15">
      <c r="A12" s="30"/>
      <c r="B12" s="31"/>
      <c r="C12" s="38"/>
      <c r="D12" s="38"/>
      <c r="E12" s="9"/>
      <c r="F12" s="9"/>
      <c r="G12" s="9"/>
      <c r="H12" s="9"/>
      <c r="I12" s="51"/>
      <c r="J12" s="52"/>
      <c r="K12" s="53"/>
      <c r="L12" s="53"/>
      <c r="M12" s="53"/>
      <c r="N12" s="53"/>
      <c r="O12" s="89"/>
    </row>
    <row r="13" spans="1:15">
      <c r="A13" s="14"/>
      <c r="B13" s="27"/>
      <c r="C13" s="27"/>
      <c r="D13" s="27"/>
      <c r="E13" s="15"/>
      <c r="F13" s="15"/>
      <c r="G13" s="15"/>
      <c r="H13" s="15"/>
      <c r="I13" s="15"/>
      <c r="J13" s="54"/>
      <c r="K13" s="55"/>
      <c r="L13" s="55"/>
      <c r="M13" s="55"/>
      <c r="N13" s="55"/>
      <c r="O13" s="90"/>
    </row>
    <row r="14" spans="1:15">
      <c r="A14" s="34"/>
      <c r="B14" s="35"/>
      <c r="C14" s="39"/>
      <c r="D14" s="4"/>
      <c r="E14" s="4"/>
      <c r="F14" s="4"/>
      <c r="G14" s="4"/>
      <c r="H14" s="4"/>
      <c r="I14" s="4"/>
      <c r="J14" s="56"/>
      <c r="K14" s="57"/>
      <c r="L14" s="57"/>
      <c r="M14" s="57"/>
      <c r="N14" s="57"/>
      <c r="O14" s="89"/>
    </row>
    <row r="15" spans="1:15">
      <c r="A15" s="25" t="s">
        <v>0</v>
      </c>
      <c r="B15" s="26" t="s">
        <v>27</v>
      </c>
      <c r="C15" s="36" t="s">
        <v>10</v>
      </c>
      <c r="D15" s="6" t="s">
        <v>3</v>
      </c>
      <c r="E15" s="6" t="s">
        <v>3</v>
      </c>
      <c r="F15" s="6" t="s">
        <v>3</v>
      </c>
      <c r="G15" s="6" t="s">
        <v>3</v>
      </c>
      <c r="H15" s="6" t="s">
        <v>3</v>
      </c>
      <c r="I15" s="44" t="s">
        <v>4</v>
      </c>
      <c r="J15" s="58" t="s">
        <v>28</v>
      </c>
      <c r="K15" s="50"/>
      <c r="L15" s="50"/>
      <c r="M15" s="50"/>
      <c r="N15" s="50"/>
      <c r="O15" s="88"/>
    </row>
    <row r="16" spans="1:15">
      <c r="A16" s="14"/>
      <c r="B16" s="27"/>
      <c r="C16" s="33" t="s">
        <v>22</v>
      </c>
      <c r="D16" s="15"/>
      <c r="E16" s="15"/>
      <c r="F16" s="15"/>
      <c r="G16" s="15"/>
      <c r="H16" s="15"/>
      <c r="I16" s="15"/>
      <c r="J16" s="54"/>
      <c r="K16" s="55"/>
      <c r="L16" s="55"/>
      <c r="M16" s="55"/>
      <c r="N16" s="55"/>
      <c r="O16" s="90"/>
    </row>
    <row r="17" spans="1:15">
      <c r="A17" s="34"/>
      <c r="B17" s="35"/>
      <c r="C17" s="4"/>
      <c r="D17" s="4"/>
      <c r="E17" s="4"/>
      <c r="F17" s="4"/>
      <c r="G17" s="4"/>
      <c r="H17" s="4"/>
      <c r="I17" s="4"/>
      <c r="J17" s="34"/>
      <c r="K17" s="4"/>
      <c r="L17" s="4"/>
      <c r="M17" s="4"/>
      <c r="N17" s="4"/>
      <c r="O17" s="18"/>
    </row>
    <row r="18" spans="1:15">
      <c r="A18" s="25" t="s">
        <v>0</v>
      </c>
      <c r="B18" s="26" t="s">
        <v>29</v>
      </c>
      <c r="C18" s="26" t="s">
        <v>30</v>
      </c>
      <c r="D18" s="36" t="s">
        <v>12</v>
      </c>
      <c r="E18" s="6" t="s">
        <v>3</v>
      </c>
      <c r="F18" s="6" t="s">
        <v>3</v>
      </c>
      <c r="G18" s="6" t="s">
        <v>3</v>
      </c>
      <c r="H18" s="6" t="s">
        <v>3</v>
      </c>
      <c r="I18" s="44" t="s">
        <v>4</v>
      </c>
      <c r="J18" s="45" t="s">
        <v>31</v>
      </c>
      <c r="K18" s="59"/>
      <c r="L18" s="59"/>
      <c r="M18" s="59"/>
      <c r="N18" s="59"/>
      <c r="O18" s="91"/>
    </row>
    <row r="19" spans="1:15">
      <c r="A19" s="30"/>
      <c r="B19" s="31"/>
      <c r="C19" s="37" t="s">
        <v>20</v>
      </c>
      <c r="D19" s="37" t="s">
        <v>21</v>
      </c>
      <c r="E19" s="9"/>
      <c r="F19" s="9"/>
      <c r="G19" s="9"/>
      <c r="H19" s="9"/>
      <c r="I19" s="51"/>
      <c r="J19" s="60"/>
      <c r="K19" s="61"/>
      <c r="L19" s="61"/>
      <c r="M19" s="61"/>
      <c r="N19" s="61"/>
      <c r="O19" s="92"/>
    </row>
    <row r="20" spans="1:15">
      <c r="A20" s="30"/>
      <c r="B20" s="31"/>
      <c r="C20" s="31"/>
      <c r="D20" s="31"/>
      <c r="E20" s="31"/>
      <c r="F20" s="31"/>
      <c r="G20" s="9"/>
      <c r="H20" s="9"/>
      <c r="I20" s="51"/>
      <c r="J20" s="60"/>
      <c r="K20" s="61"/>
      <c r="L20" s="61"/>
      <c r="M20" s="61"/>
      <c r="N20" s="61"/>
      <c r="O20" s="92"/>
    </row>
    <row r="21" spans="1:15">
      <c r="A21" s="30"/>
      <c r="B21" s="31"/>
      <c r="C21" s="31"/>
      <c r="D21" s="31"/>
      <c r="E21" s="31"/>
      <c r="F21" s="31"/>
      <c r="G21" s="9"/>
      <c r="H21" s="9"/>
      <c r="I21" s="51"/>
      <c r="J21" s="60"/>
      <c r="K21" s="61"/>
      <c r="L21" s="61"/>
      <c r="M21" s="61"/>
      <c r="N21" s="61"/>
      <c r="O21" s="92"/>
    </row>
    <row r="22" spans="1:15">
      <c r="A22" s="14"/>
      <c r="B22" s="27"/>
      <c r="C22" s="15"/>
      <c r="D22" s="15"/>
      <c r="E22" s="15"/>
      <c r="F22" s="15"/>
      <c r="G22" s="15"/>
      <c r="H22" s="15"/>
      <c r="I22" s="15"/>
      <c r="J22" s="62"/>
      <c r="K22" s="63"/>
      <c r="L22" s="63"/>
      <c r="M22" s="63"/>
      <c r="N22" s="63"/>
      <c r="O22" s="93"/>
    </row>
    <row r="23" spans="1:15">
      <c r="A23" s="34"/>
      <c r="B23" s="35"/>
      <c r="C23" s="4"/>
      <c r="D23" s="4"/>
      <c r="E23" s="4"/>
      <c r="F23" s="4"/>
      <c r="G23" s="4"/>
      <c r="H23" s="4"/>
      <c r="I23" s="4"/>
      <c r="J23" s="34"/>
      <c r="K23" s="4"/>
      <c r="L23" s="4"/>
      <c r="M23" s="4"/>
      <c r="N23" s="4"/>
      <c r="O23" s="18"/>
    </row>
    <row r="24" spans="1:15">
      <c r="A24" s="25" t="s">
        <v>0</v>
      </c>
      <c r="B24" s="26" t="s">
        <v>32</v>
      </c>
      <c r="C24" s="36" t="s">
        <v>33</v>
      </c>
      <c r="D24" s="36" t="s">
        <v>8</v>
      </c>
      <c r="E24" s="6" t="s">
        <v>3</v>
      </c>
      <c r="F24" s="6" t="s">
        <v>3</v>
      </c>
      <c r="G24" s="6" t="s">
        <v>3</v>
      </c>
      <c r="H24" s="6" t="s">
        <v>3</v>
      </c>
      <c r="I24" s="44" t="s">
        <v>4</v>
      </c>
      <c r="J24" s="49" t="s">
        <v>34</v>
      </c>
      <c r="K24" s="50"/>
      <c r="L24" s="50"/>
      <c r="M24" s="50"/>
      <c r="N24" s="50"/>
      <c r="O24" s="88"/>
    </row>
    <row r="25" spans="1:15">
      <c r="A25" s="30"/>
      <c r="B25" s="31"/>
      <c r="C25" s="37" t="s">
        <v>35</v>
      </c>
      <c r="D25" s="37" t="s">
        <v>36</v>
      </c>
      <c r="E25" s="9"/>
      <c r="F25" s="9"/>
      <c r="G25" s="9"/>
      <c r="H25" s="9"/>
      <c r="I25" s="51"/>
      <c r="J25" s="52"/>
      <c r="K25" s="53"/>
      <c r="L25" s="53"/>
      <c r="M25" s="53"/>
      <c r="N25" s="53"/>
      <c r="O25" s="89"/>
    </row>
    <row r="26" spans="1:15">
      <c r="A26" s="30"/>
      <c r="B26" s="31"/>
      <c r="C26" s="38"/>
      <c r="D26" s="38"/>
      <c r="E26" s="9"/>
      <c r="F26" s="9"/>
      <c r="G26" s="9"/>
      <c r="H26" s="9"/>
      <c r="I26" s="51"/>
      <c r="J26" s="52"/>
      <c r="K26" s="53"/>
      <c r="L26" s="53"/>
      <c r="M26" s="53"/>
      <c r="N26" s="53"/>
      <c r="O26" s="89"/>
    </row>
    <row r="27" spans="1:15">
      <c r="A27" s="30"/>
      <c r="B27" s="31"/>
      <c r="C27" s="38"/>
      <c r="D27" s="38"/>
      <c r="E27" s="9"/>
      <c r="F27" s="9"/>
      <c r="G27" s="9"/>
      <c r="H27" s="9"/>
      <c r="I27" s="51"/>
      <c r="J27" s="52"/>
      <c r="K27" s="53"/>
      <c r="L27" s="53"/>
      <c r="M27" s="53"/>
      <c r="N27" s="53"/>
      <c r="O27" s="89"/>
    </row>
    <row r="28" spans="1:15">
      <c r="A28" s="30"/>
      <c r="B28" s="31"/>
      <c r="C28" s="38"/>
      <c r="D28" s="38"/>
      <c r="E28" s="9"/>
      <c r="F28" s="9"/>
      <c r="G28" s="9"/>
      <c r="H28" s="9"/>
      <c r="I28" s="51"/>
      <c r="J28" s="52"/>
      <c r="K28" s="53"/>
      <c r="L28" s="53"/>
      <c r="M28" s="53"/>
      <c r="N28" s="53"/>
      <c r="O28" s="89"/>
    </row>
    <row r="29" spans="1:15">
      <c r="A29" s="30"/>
      <c r="B29" s="31"/>
      <c r="C29" s="38"/>
      <c r="D29" s="38"/>
      <c r="E29" s="9"/>
      <c r="F29" s="9"/>
      <c r="G29" s="9"/>
      <c r="H29" s="9"/>
      <c r="I29" s="51"/>
      <c r="J29" s="52"/>
      <c r="K29" s="53"/>
      <c r="L29" s="53"/>
      <c r="M29" s="53"/>
      <c r="N29" s="53"/>
      <c r="O29" s="89"/>
    </row>
    <row r="30" spans="1:15">
      <c r="A30" s="30"/>
      <c r="B30" s="31"/>
      <c r="C30" s="38"/>
      <c r="D30" s="38"/>
      <c r="E30" s="9"/>
      <c r="F30" s="9"/>
      <c r="G30" s="9"/>
      <c r="H30" s="9"/>
      <c r="I30" s="51"/>
      <c r="J30" s="52"/>
      <c r="K30" s="53"/>
      <c r="L30" s="53"/>
      <c r="M30" s="53"/>
      <c r="N30" s="53"/>
      <c r="O30" s="89"/>
    </row>
    <row r="31" spans="1:15">
      <c r="A31" s="30"/>
      <c r="B31" s="31"/>
      <c r="C31" s="38"/>
      <c r="D31" s="38"/>
      <c r="E31" s="9"/>
      <c r="F31" s="9"/>
      <c r="G31" s="9"/>
      <c r="H31" s="9"/>
      <c r="I31" s="51"/>
      <c r="J31" s="52"/>
      <c r="K31" s="53"/>
      <c r="L31" s="53"/>
      <c r="M31" s="53"/>
      <c r="N31" s="53"/>
      <c r="O31" s="89"/>
    </row>
    <row r="32" spans="1:15">
      <c r="A32" s="14"/>
      <c r="B32" s="27"/>
      <c r="C32" s="40"/>
      <c r="D32" s="40"/>
      <c r="E32" s="15"/>
      <c r="F32" s="15"/>
      <c r="G32" s="15"/>
      <c r="H32" s="15"/>
      <c r="I32" s="15"/>
      <c r="J32" s="54"/>
      <c r="K32" s="55"/>
      <c r="L32" s="55"/>
      <c r="M32" s="55"/>
      <c r="N32" s="55"/>
      <c r="O32" s="90"/>
    </row>
    <row r="33" spans="1:15">
      <c r="A33" s="34"/>
      <c r="B33" s="35"/>
      <c r="C33" s="4"/>
      <c r="D33" s="4"/>
      <c r="E33" s="4"/>
      <c r="F33" s="4"/>
      <c r="G33" s="4"/>
      <c r="H33" s="4"/>
      <c r="I33" s="4"/>
      <c r="J33" s="34"/>
      <c r="K33" s="4"/>
      <c r="L33" s="4"/>
      <c r="M33" s="4"/>
      <c r="N33" s="4"/>
      <c r="O33" s="18"/>
    </row>
    <row r="34" spans="1:15">
      <c r="A34" s="25" t="s">
        <v>0</v>
      </c>
      <c r="B34" s="26" t="s">
        <v>37</v>
      </c>
      <c r="C34" s="36" t="s">
        <v>24</v>
      </c>
      <c r="D34" s="36" t="s">
        <v>38</v>
      </c>
      <c r="E34" s="36" t="s">
        <v>38</v>
      </c>
      <c r="F34" s="36" t="s">
        <v>9</v>
      </c>
      <c r="G34" s="6" t="s">
        <v>3</v>
      </c>
      <c r="H34" s="6" t="s">
        <v>3</v>
      </c>
      <c r="I34" s="44" t="s">
        <v>4</v>
      </c>
      <c r="J34" s="64" t="s">
        <v>39</v>
      </c>
      <c r="K34" s="65"/>
      <c r="L34" s="65"/>
      <c r="M34" s="65"/>
      <c r="N34" s="65"/>
      <c r="O34" s="94"/>
    </row>
    <row r="35" spans="1:15">
      <c r="A35" s="30"/>
      <c r="B35" s="31"/>
      <c r="C35" s="37" t="s">
        <v>40</v>
      </c>
      <c r="D35" s="37" t="s">
        <v>15</v>
      </c>
      <c r="E35" s="37" t="s">
        <v>16</v>
      </c>
      <c r="F35" s="37" t="s">
        <v>17</v>
      </c>
      <c r="G35" s="9"/>
      <c r="H35" s="9"/>
      <c r="I35" s="51"/>
      <c r="J35" s="66"/>
      <c r="K35" s="12"/>
      <c r="L35" s="12"/>
      <c r="M35" s="12"/>
      <c r="N35" s="12"/>
      <c r="O35" s="19"/>
    </row>
    <row r="36" spans="1:15">
      <c r="A36" s="30"/>
      <c r="B36" s="31"/>
      <c r="C36" s="37"/>
      <c r="D36" s="37" t="s">
        <v>18</v>
      </c>
      <c r="E36" s="37"/>
      <c r="F36" s="37"/>
      <c r="G36" s="9"/>
      <c r="H36" s="9"/>
      <c r="I36" s="51"/>
      <c r="J36" s="66"/>
      <c r="K36" s="12"/>
      <c r="L36" s="12"/>
      <c r="M36" s="12"/>
      <c r="N36" s="12"/>
      <c r="O36" s="19"/>
    </row>
    <row r="37" spans="1:15">
      <c r="A37" s="30"/>
      <c r="B37" s="31"/>
      <c r="C37" s="37"/>
      <c r="D37" s="37" t="s">
        <v>41</v>
      </c>
      <c r="E37" s="37"/>
      <c r="F37" s="37"/>
      <c r="G37" s="9"/>
      <c r="H37" s="9"/>
      <c r="I37" s="51"/>
      <c r="J37" s="66"/>
      <c r="K37" s="12"/>
      <c r="L37" s="12"/>
      <c r="M37" s="12"/>
      <c r="N37" s="12"/>
      <c r="O37" s="19"/>
    </row>
    <row r="38" spans="1:15">
      <c r="A38" s="30"/>
      <c r="B38" s="31"/>
      <c r="C38" s="37"/>
      <c r="D38" s="37" t="s">
        <v>18</v>
      </c>
      <c r="E38" s="37" t="s">
        <v>41</v>
      </c>
      <c r="F38" s="37"/>
      <c r="G38" s="9"/>
      <c r="H38" s="9"/>
      <c r="I38" s="51"/>
      <c r="J38" s="66"/>
      <c r="K38" s="12"/>
      <c r="L38" s="12"/>
      <c r="M38" s="12"/>
      <c r="N38" s="12"/>
      <c r="O38" s="19"/>
    </row>
    <row r="39" spans="1:15">
      <c r="A39" s="30"/>
      <c r="B39" s="31"/>
      <c r="C39" s="38"/>
      <c r="D39" s="38"/>
      <c r="E39" s="38"/>
      <c r="F39" s="38"/>
      <c r="G39" s="38"/>
      <c r="H39" s="9"/>
      <c r="I39" s="51"/>
      <c r="J39" s="66"/>
      <c r="K39" s="12"/>
      <c r="L39" s="12"/>
      <c r="M39" s="12"/>
      <c r="N39" s="12"/>
      <c r="O39" s="19"/>
    </row>
    <row r="40" spans="1:15">
      <c r="A40" s="30"/>
      <c r="B40" s="31"/>
      <c r="C40" s="38"/>
      <c r="D40" s="38"/>
      <c r="E40" s="38"/>
      <c r="F40" s="38"/>
      <c r="G40" s="9"/>
      <c r="H40" s="9"/>
      <c r="I40" s="51"/>
      <c r="J40" s="66"/>
      <c r="K40" s="12"/>
      <c r="L40" s="12"/>
      <c r="M40" s="12"/>
      <c r="N40" s="12"/>
      <c r="O40" s="19"/>
    </row>
    <row r="41" spans="1:15">
      <c r="A41" s="30"/>
      <c r="B41" s="31"/>
      <c r="C41" s="38"/>
      <c r="D41" s="38"/>
      <c r="E41" s="38"/>
      <c r="F41" s="38"/>
      <c r="G41" s="9"/>
      <c r="H41" s="9"/>
      <c r="I41" s="51"/>
      <c r="J41" s="66"/>
      <c r="K41" s="12"/>
      <c r="L41" s="12"/>
      <c r="M41" s="12"/>
      <c r="N41" s="12"/>
      <c r="O41" s="19"/>
    </row>
    <row r="42" spans="1:15">
      <c r="A42" s="30"/>
      <c r="B42" s="31"/>
      <c r="C42" s="38"/>
      <c r="D42" s="38"/>
      <c r="E42" s="38"/>
      <c r="F42" s="38"/>
      <c r="G42" s="9"/>
      <c r="H42" s="9"/>
      <c r="I42" s="51"/>
      <c r="J42" s="66"/>
      <c r="K42" s="12"/>
      <c r="L42" s="12"/>
      <c r="M42" s="12"/>
      <c r="N42" s="12"/>
      <c r="O42" s="19"/>
    </row>
    <row r="43" spans="1:15">
      <c r="A43" s="30"/>
      <c r="B43" s="31"/>
      <c r="C43" s="38"/>
      <c r="D43" s="38"/>
      <c r="E43" s="38"/>
      <c r="F43" s="38"/>
      <c r="G43" s="9"/>
      <c r="H43" s="9"/>
      <c r="I43" s="51"/>
      <c r="J43" s="66"/>
      <c r="K43" s="12"/>
      <c r="L43" s="12"/>
      <c r="M43" s="12"/>
      <c r="N43" s="12"/>
      <c r="O43" s="19"/>
    </row>
    <row r="44" spans="1:15">
      <c r="A44" s="30"/>
      <c r="B44" s="31"/>
      <c r="C44" s="38"/>
      <c r="D44" s="38"/>
      <c r="E44" s="38"/>
      <c r="F44" s="38"/>
      <c r="G44" s="9"/>
      <c r="H44" s="9"/>
      <c r="I44" s="51"/>
      <c r="J44" s="66"/>
      <c r="K44" s="12"/>
      <c r="L44" s="12"/>
      <c r="M44" s="12"/>
      <c r="N44" s="12"/>
      <c r="O44" s="19"/>
    </row>
    <row r="45" spans="1:15">
      <c r="A45" s="30"/>
      <c r="B45" s="31"/>
      <c r="C45" s="38"/>
      <c r="D45" s="38"/>
      <c r="E45" s="38"/>
      <c r="F45" s="38"/>
      <c r="G45" s="9"/>
      <c r="H45" s="9"/>
      <c r="I45" s="51"/>
      <c r="J45" s="66"/>
      <c r="K45" s="12"/>
      <c r="L45" s="12"/>
      <c r="M45" s="12"/>
      <c r="N45" s="12"/>
      <c r="O45" s="19"/>
    </row>
    <row r="46" spans="1:15">
      <c r="A46" s="14"/>
      <c r="B46" s="40"/>
      <c r="C46" s="40"/>
      <c r="D46" s="40"/>
      <c r="E46" s="40"/>
      <c r="F46" s="40"/>
      <c r="G46" s="15"/>
      <c r="H46" s="15"/>
      <c r="I46" s="15"/>
      <c r="J46" s="67"/>
      <c r="K46" s="68"/>
      <c r="L46" s="68"/>
      <c r="M46" s="68"/>
      <c r="N46" s="68"/>
      <c r="O46" s="95"/>
    </row>
    <row r="47" spans="1:15">
      <c r="A47" s="34"/>
      <c r="B47" s="39"/>
      <c r="C47" s="39"/>
      <c r="D47" s="39"/>
      <c r="E47" s="39"/>
      <c r="F47" s="39"/>
      <c r="G47" s="4"/>
      <c r="H47" s="4"/>
      <c r="I47" s="4"/>
      <c r="J47" s="69"/>
      <c r="K47" s="70"/>
      <c r="L47" s="70"/>
      <c r="M47" s="70"/>
      <c r="N47" s="70"/>
      <c r="O47" s="19"/>
    </row>
    <row r="48" spans="1:15">
      <c r="A48" s="25" t="s">
        <v>0</v>
      </c>
      <c r="B48" s="26" t="s">
        <v>42</v>
      </c>
      <c r="C48" s="26" t="s">
        <v>43</v>
      </c>
      <c r="D48" s="6" t="s">
        <v>3</v>
      </c>
      <c r="E48" s="6" t="s">
        <v>3</v>
      </c>
      <c r="F48" s="6" t="s">
        <v>3</v>
      </c>
      <c r="G48" s="6" t="s">
        <v>3</v>
      </c>
      <c r="H48" s="6" t="s">
        <v>3</v>
      </c>
      <c r="I48" s="44" t="s">
        <v>4</v>
      </c>
      <c r="J48" s="49" t="s">
        <v>44</v>
      </c>
      <c r="K48" s="71"/>
      <c r="L48" s="71"/>
      <c r="M48" s="71"/>
      <c r="N48" s="71"/>
      <c r="O48" s="96"/>
    </row>
    <row r="49" spans="1:15">
      <c r="A49" s="14"/>
      <c r="B49" s="27"/>
      <c r="C49" s="33" t="s">
        <v>45</v>
      </c>
      <c r="D49" s="27"/>
      <c r="E49" s="15"/>
      <c r="F49" s="15"/>
      <c r="G49" s="15"/>
      <c r="H49" s="15"/>
      <c r="I49" s="15"/>
      <c r="J49" s="72"/>
      <c r="K49" s="73"/>
      <c r="L49" s="73"/>
      <c r="M49" s="73"/>
      <c r="N49" s="73"/>
      <c r="O49" s="97"/>
    </row>
    <row r="50" spans="1:15">
      <c r="A50" s="10"/>
      <c r="B50" s="41"/>
      <c r="C50" s="41"/>
      <c r="D50" s="41"/>
      <c r="E50" s="43"/>
      <c r="F50" s="43"/>
      <c r="G50" s="43"/>
      <c r="H50" s="43"/>
      <c r="I50" s="43"/>
      <c r="J50" s="74"/>
      <c r="K50" s="75"/>
      <c r="L50" s="75"/>
      <c r="M50" s="75"/>
      <c r="N50" s="75"/>
      <c r="O50" s="98"/>
    </row>
    <row r="51" spans="1:15">
      <c r="A51" s="25" t="s">
        <v>0</v>
      </c>
      <c r="B51" s="26" t="s">
        <v>46</v>
      </c>
      <c r="C51" s="36" t="s">
        <v>10</v>
      </c>
      <c r="D51" s="6" t="s">
        <v>3</v>
      </c>
      <c r="E51" s="6" t="s">
        <v>3</v>
      </c>
      <c r="F51" s="6" t="s">
        <v>3</v>
      </c>
      <c r="G51" s="6" t="s">
        <v>3</v>
      </c>
      <c r="H51" s="6" t="s">
        <v>3</v>
      </c>
      <c r="I51" s="44" t="s">
        <v>4</v>
      </c>
      <c r="J51" s="49" t="s">
        <v>47</v>
      </c>
      <c r="K51" s="71"/>
      <c r="L51" s="71"/>
      <c r="M51" s="71"/>
      <c r="N51" s="71"/>
      <c r="O51" s="96"/>
    </row>
    <row r="52" spans="1:15">
      <c r="A52" s="14"/>
      <c r="B52" s="27"/>
      <c r="C52" s="33" t="s">
        <v>48</v>
      </c>
      <c r="D52" s="27"/>
      <c r="E52" s="15"/>
      <c r="F52" s="15"/>
      <c r="G52" s="15"/>
      <c r="H52" s="15"/>
      <c r="I52" s="15"/>
      <c r="J52" s="72"/>
      <c r="K52" s="73"/>
      <c r="L52" s="73"/>
      <c r="M52" s="73"/>
      <c r="N52" s="73"/>
      <c r="O52" s="97"/>
    </row>
    <row r="53" spans="1:15">
      <c r="A53" s="34"/>
      <c r="B53" s="35"/>
      <c r="C53" s="4"/>
      <c r="D53" s="4"/>
      <c r="E53" s="4"/>
      <c r="F53" s="4"/>
      <c r="G53" s="4"/>
      <c r="H53" s="4"/>
      <c r="I53" s="4"/>
      <c r="J53" s="34"/>
      <c r="K53" s="4"/>
      <c r="L53" s="4"/>
      <c r="M53" s="4"/>
      <c r="N53" s="4"/>
      <c r="O53" s="18"/>
    </row>
    <row r="54" spans="1:15">
      <c r="A54" s="25" t="s">
        <v>0</v>
      </c>
      <c r="B54" s="26" t="s">
        <v>49</v>
      </c>
      <c r="C54" s="36" t="s">
        <v>9</v>
      </c>
      <c r="D54" s="36" t="s">
        <v>9</v>
      </c>
      <c r="E54" s="6" t="s">
        <v>3</v>
      </c>
      <c r="F54" s="6" t="s">
        <v>3</v>
      </c>
      <c r="G54" s="6" t="s">
        <v>3</v>
      </c>
      <c r="H54" s="6" t="s">
        <v>3</v>
      </c>
      <c r="I54" s="44" t="s">
        <v>4</v>
      </c>
      <c r="J54" s="49" t="s">
        <v>50</v>
      </c>
      <c r="K54" s="50"/>
      <c r="L54" s="50"/>
      <c r="M54" s="50"/>
      <c r="N54" s="50"/>
      <c r="O54" s="88"/>
    </row>
    <row r="55" spans="1:15">
      <c r="A55" s="14"/>
      <c r="B55" s="40"/>
      <c r="C55" s="33" t="s">
        <v>51</v>
      </c>
      <c r="D55" s="33" t="s">
        <v>52</v>
      </c>
      <c r="E55" s="27"/>
      <c r="F55" s="15"/>
      <c r="G55" s="15"/>
      <c r="H55" s="15"/>
      <c r="I55" s="15"/>
      <c r="J55" s="54"/>
      <c r="K55" s="55"/>
      <c r="L55" s="55"/>
      <c r="M55" s="55"/>
      <c r="N55" s="55"/>
      <c r="O55" s="90"/>
    </row>
    <row r="56" spans="1:15">
      <c r="A56" s="34"/>
      <c r="B56" s="35"/>
      <c r="C56" s="4"/>
      <c r="D56" s="4"/>
      <c r="E56" s="4"/>
      <c r="F56" s="4"/>
      <c r="G56" s="4"/>
      <c r="H56" s="4"/>
      <c r="I56" s="4"/>
      <c r="J56" s="34"/>
      <c r="K56" s="4"/>
      <c r="L56" s="4"/>
      <c r="M56" s="4"/>
      <c r="N56" s="4"/>
      <c r="O56" s="18"/>
    </row>
    <row r="57" spans="1:15">
      <c r="A57" s="25" t="s">
        <v>0</v>
      </c>
      <c r="B57" s="26" t="s">
        <v>53</v>
      </c>
      <c r="C57" s="26" t="s">
        <v>54</v>
      </c>
      <c r="D57" s="6" t="s">
        <v>3</v>
      </c>
      <c r="E57" s="6" t="s">
        <v>3</v>
      </c>
      <c r="F57" s="6" t="s">
        <v>3</v>
      </c>
      <c r="G57" s="6" t="s">
        <v>3</v>
      </c>
      <c r="H57" s="6" t="s">
        <v>3</v>
      </c>
      <c r="I57" s="44" t="s">
        <v>4</v>
      </c>
      <c r="J57" s="76" t="s">
        <v>55</v>
      </c>
      <c r="K57" s="77"/>
      <c r="L57" s="77"/>
      <c r="M57" s="77"/>
      <c r="N57" s="77"/>
      <c r="O57" s="99"/>
    </row>
    <row r="58" spans="1:15">
      <c r="A58" s="14"/>
      <c r="B58" s="27"/>
      <c r="C58" s="33" t="s">
        <v>56</v>
      </c>
      <c r="D58" s="42"/>
      <c r="E58" s="42"/>
      <c r="F58" s="15"/>
      <c r="G58" s="15"/>
      <c r="H58" s="15"/>
      <c r="I58" s="15"/>
      <c r="J58" s="78"/>
      <c r="K58" s="79"/>
      <c r="L58" s="79"/>
      <c r="M58" s="79"/>
      <c r="N58" s="79"/>
      <c r="O58" s="100"/>
    </row>
    <row r="59" spans="1:15">
      <c r="A59" s="34"/>
      <c r="B59" s="35"/>
      <c r="C59" s="4"/>
      <c r="D59" s="4"/>
      <c r="E59" s="4"/>
      <c r="F59" s="4"/>
      <c r="G59" s="4"/>
      <c r="H59" s="4"/>
      <c r="I59" s="4"/>
      <c r="J59" s="34"/>
      <c r="K59" s="4"/>
      <c r="L59" s="4"/>
      <c r="M59" s="4"/>
      <c r="N59" s="4"/>
      <c r="O59" s="18"/>
    </row>
    <row r="60" spans="1:15">
      <c r="A60" s="25" t="s">
        <v>0</v>
      </c>
      <c r="B60" s="26" t="s">
        <v>57</v>
      </c>
      <c r="C60" s="26" t="s">
        <v>58</v>
      </c>
      <c r="D60" s="36" t="s">
        <v>59</v>
      </c>
      <c r="E60" s="36" t="s">
        <v>60</v>
      </c>
      <c r="F60" s="36" t="s">
        <v>61</v>
      </c>
      <c r="G60" s="36" t="s">
        <v>3</v>
      </c>
      <c r="H60" s="6" t="s">
        <v>3</v>
      </c>
      <c r="I60" s="44" t="s">
        <v>4</v>
      </c>
      <c r="J60" s="64" t="s">
        <v>62</v>
      </c>
      <c r="K60" s="80"/>
      <c r="L60" s="80"/>
      <c r="M60" s="80"/>
      <c r="N60" s="80"/>
      <c r="O60" s="101"/>
    </row>
    <row r="61" spans="1:15">
      <c r="A61" s="10"/>
      <c r="B61" s="41"/>
      <c r="C61" s="43"/>
      <c r="D61" s="37" t="s">
        <v>36</v>
      </c>
      <c r="E61" s="37" t="s">
        <v>63</v>
      </c>
      <c r="F61" s="37" t="s">
        <v>64</v>
      </c>
      <c r="G61" s="37" t="s">
        <v>65</v>
      </c>
      <c r="H61" s="43"/>
      <c r="I61" s="43"/>
      <c r="J61" s="81"/>
      <c r="K61" s="82"/>
      <c r="L61" s="82"/>
      <c r="M61" s="82"/>
      <c r="N61" s="82"/>
      <c r="O61" s="102"/>
    </row>
    <row r="62" spans="1:15">
      <c r="A62" s="34"/>
      <c r="B62" s="35"/>
      <c r="C62" s="4"/>
      <c r="D62" s="4"/>
      <c r="E62" s="4"/>
      <c r="F62" s="4"/>
      <c r="G62" s="4"/>
      <c r="H62" s="4"/>
      <c r="I62" s="4"/>
      <c r="J62" s="81"/>
      <c r="K62" s="82"/>
      <c r="L62" s="82"/>
      <c r="M62" s="82"/>
      <c r="N62" s="82"/>
      <c r="O62" s="102"/>
    </row>
    <row r="63" spans="1:15">
      <c r="A63" s="34"/>
      <c r="B63" s="35"/>
      <c r="C63" s="4"/>
      <c r="D63" s="4"/>
      <c r="E63" s="4"/>
      <c r="F63" s="4"/>
      <c r="G63" s="4"/>
      <c r="H63" s="4"/>
      <c r="I63" s="4"/>
      <c r="J63" s="81"/>
      <c r="K63" s="82"/>
      <c r="L63" s="82"/>
      <c r="M63" s="82"/>
      <c r="N63" s="82"/>
      <c r="O63" s="102"/>
    </row>
    <row r="64" spans="1:15">
      <c r="A64" s="34"/>
      <c r="B64" s="35"/>
      <c r="C64" s="4"/>
      <c r="D64" s="4"/>
      <c r="E64" s="4"/>
      <c r="F64" s="4"/>
      <c r="G64" s="4"/>
      <c r="H64" s="4"/>
      <c r="I64" s="4"/>
      <c r="J64" s="81"/>
      <c r="K64" s="82"/>
      <c r="L64" s="82"/>
      <c r="M64" s="82"/>
      <c r="N64" s="82"/>
      <c r="O64" s="102"/>
    </row>
    <row r="65" spans="1:15">
      <c r="A65" s="34"/>
      <c r="B65" s="35"/>
      <c r="C65" s="4"/>
      <c r="D65" s="4"/>
      <c r="E65" s="4"/>
      <c r="F65" s="4"/>
      <c r="G65" s="4"/>
      <c r="H65" s="4"/>
      <c r="I65" s="4"/>
      <c r="J65" s="81"/>
      <c r="K65" s="82"/>
      <c r="L65" s="82"/>
      <c r="M65" s="82"/>
      <c r="N65" s="82"/>
      <c r="O65" s="102"/>
    </row>
    <row r="66" spans="1:15">
      <c r="A66" s="34"/>
      <c r="B66" s="35"/>
      <c r="C66" s="4"/>
      <c r="D66" s="4"/>
      <c r="E66" s="4"/>
      <c r="F66" s="4"/>
      <c r="G66" s="4"/>
      <c r="H66" s="4"/>
      <c r="I66" s="4"/>
      <c r="J66" s="81"/>
      <c r="K66" s="82"/>
      <c r="L66" s="82"/>
      <c r="M66" s="82"/>
      <c r="N66" s="82"/>
      <c r="O66" s="102"/>
    </row>
    <row r="67" spans="1:15">
      <c r="A67" s="103"/>
      <c r="B67" s="104"/>
      <c r="C67" s="20"/>
      <c r="D67" s="20"/>
      <c r="E67" s="20"/>
      <c r="F67" s="20"/>
      <c r="G67" s="20"/>
      <c r="H67" s="20"/>
      <c r="I67" s="20"/>
      <c r="J67" s="125"/>
      <c r="K67" s="126"/>
      <c r="L67" s="126"/>
      <c r="M67" s="126"/>
      <c r="N67" s="126"/>
      <c r="O67" s="138"/>
    </row>
    <row r="68" spans="1:15">
      <c r="A68" s="34"/>
      <c r="B68" s="35"/>
      <c r="C68" s="4"/>
      <c r="D68" s="4"/>
      <c r="E68" s="4"/>
      <c r="F68" s="4"/>
      <c r="G68" s="4"/>
      <c r="H68" s="4"/>
      <c r="I68" s="4"/>
      <c r="J68" s="81"/>
      <c r="K68" s="82"/>
      <c r="L68" s="82"/>
      <c r="M68" s="82"/>
      <c r="N68" s="82"/>
      <c r="O68" s="102"/>
    </row>
    <row r="69" spans="1:15">
      <c r="A69" s="25" t="s">
        <v>0</v>
      </c>
      <c r="B69" s="26" t="s">
        <v>66</v>
      </c>
      <c r="C69" s="26" t="s">
        <v>30</v>
      </c>
      <c r="D69" s="36" t="s">
        <v>60</v>
      </c>
      <c r="E69" s="36" t="s">
        <v>61</v>
      </c>
      <c r="F69" s="36" t="s">
        <v>61</v>
      </c>
      <c r="G69" s="26" t="s">
        <v>67</v>
      </c>
      <c r="H69" s="6" t="s">
        <v>3</v>
      </c>
      <c r="I69" s="44" t="s">
        <v>4</v>
      </c>
      <c r="J69" s="127" t="s">
        <v>68</v>
      </c>
      <c r="K69" s="65"/>
      <c r="L69" s="65"/>
      <c r="M69" s="65"/>
      <c r="N69" s="65"/>
      <c r="O69" s="94"/>
    </row>
    <row r="70" spans="1:15">
      <c r="A70" s="30"/>
      <c r="B70" s="31"/>
      <c r="C70" s="37" t="s">
        <v>69</v>
      </c>
      <c r="D70" s="37" t="s">
        <v>63</v>
      </c>
      <c r="E70" s="37" t="s">
        <v>64</v>
      </c>
      <c r="F70" s="37" t="s">
        <v>70</v>
      </c>
      <c r="G70" s="37" t="s">
        <v>71</v>
      </c>
      <c r="H70" s="9"/>
      <c r="I70" s="51"/>
      <c r="J70" s="128"/>
      <c r="K70" s="12"/>
      <c r="L70" s="12"/>
      <c r="M70" s="12"/>
      <c r="N70" s="12"/>
      <c r="O70" s="19"/>
    </row>
    <row r="71" spans="1:15">
      <c r="A71" s="14"/>
      <c r="B71" s="27"/>
      <c r="C71" s="27"/>
      <c r="D71" s="27"/>
      <c r="E71" s="27"/>
      <c r="F71" s="27"/>
      <c r="G71" s="27"/>
      <c r="H71" s="15"/>
      <c r="I71" s="15"/>
      <c r="J71" s="67"/>
      <c r="K71" s="68"/>
      <c r="L71" s="68"/>
      <c r="M71" s="68"/>
      <c r="N71" s="68"/>
      <c r="O71" s="95"/>
    </row>
    <row r="72" spans="1:15">
      <c r="A72" s="34"/>
      <c r="B72" s="35"/>
      <c r="C72" s="4"/>
      <c r="D72" s="4"/>
      <c r="E72" s="4"/>
      <c r="F72" s="4"/>
      <c r="G72" s="4"/>
      <c r="H72" s="4"/>
      <c r="I72" s="4"/>
      <c r="J72" s="34"/>
      <c r="K72" s="4"/>
      <c r="L72" s="4"/>
      <c r="M72" s="4"/>
      <c r="N72" s="4"/>
      <c r="O72" s="18"/>
    </row>
    <row r="73" spans="1:15">
      <c r="A73" s="105" t="s">
        <v>0</v>
      </c>
      <c r="B73" s="106" t="s">
        <v>72</v>
      </c>
      <c r="C73" s="107" t="s">
        <v>73</v>
      </c>
      <c r="D73" s="108" t="s">
        <v>3</v>
      </c>
      <c r="E73" s="108" t="s">
        <v>3</v>
      </c>
      <c r="F73" s="108" t="s">
        <v>3</v>
      </c>
      <c r="G73" s="108" t="s">
        <v>3</v>
      </c>
      <c r="H73" s="108" t="s">
        <v>3</v>
      </c>
      <c r="I73" s="129" t="s">
        <v>4</v>
      </c>
      <c r="J73" s="130" t="s">
        <v>74</v>
      </c>
      <c r="K73" s="131"/>
      <c r="L73" s="131"/>
      <c r="M73" s="131"/>
      <c r="N73" s="131"/>
      <c r="O73" s="139"/>
    </row>
    <row r="74" spans="1:15">
      <c r="A74" s="109"/>
      <c r="B74" s="110"/>
      <c r="C74" s="111" t="s">
        <v>75</v>
      </c>
      <c r="D74" s="112"/>
      <c r="E74" s="112"/>
      <c r="F74" s="112"/>
      <c r="G74" s="112"/>
      <c r="H74" s="112"/>
      <c r="I74" s="112"/>
      <c r="J74" s="132"/>
      <c r="K74" s="133"/>
      <c r="L74" s="133"/>
      <c r="M74" s="133"/>
      <c r="N74" s="133"/>
      <c r="O74" s="140"/>
    </row>
    <row r="75" spans="1:15">
      <c r="A75" s="113"/>
      <c r="B75" s="114"/>
      <c r="C75" s="41"/>
      <c r="D75" s="43"/>
      <c r="E75" s="43"/>
      <c r="F75" s="43"/>
      <c r="G75" s="43"/>
      <c r="H75" s="43"/>
      <c r="I75" s="134"/>
      <c r="J75" s="135"/>
      <c r="K75" s="70"/>
      <c r="L75" s="70"/>
      <c r="M75" s="70"/>
      <c r="N75" s="70"/>
      <c r="O75" s="141"/>
    </row>
    <row r="76" spans="1:15">
      <c r="A76" s="115" t="s">
        <v>0</v>
      </c>
      <c r="B76" s="116" t="s">
        <v>76</v>
      </c>
      <c r="C76" s="117" t="s">
        <v>23</v>
      </c>
      <c r="D76" s="23" t="s">
        <v>3</v>
      </c>
      <c r="E76" s="23" t="s">
        <v>3</v>
      </c>
      <c r="F76" s="23" t="s">
        <v>3</v>
      </c>
      <c r="G76" s="23" t="s">
        <v>3</v>
      </c>
      <c r="H76" s="23" t="s">
        <v>3</v>
      </c>
      <c r="I76" s="115" t="s">
        <v>4</v>
      </c>
      <c r="J76" s="136" t="s">
        <v>77</v>
      </c>
      <c r="K76" s="137"/>
      <c r="L76" s="137"/>
      <c r="M76" s="137"/>
      <c r="N76" s="137"/>
      <c r="O76" s="137"/>
    </row>
    <row r="77" spans="1:15">
      <c r="A77" s="118"/>
      <c r="B77" s="118"/>
      <c r="C77" s="119"/>
      <c r="D77" s="118"/>
      <c r="E77" s="118"/>
      <c r="F77" s="118"/>
      <c r="G77" s="118"/>
      <c r="H77" s="118"/>
      <c r="I77" s="118"/>
      <c r="J77" s="137"/>
      <c r="K77" s="137"/>
      <c r="L77" s="137"/>
      <c r="M77" s="137"/>
      <c r="N77" s="137"/>
      <c r="O77" s="137"/>
    </row>
    <row r="78" spans="1:15">
      <c r="A78" s="118"/>
      <c r="B78" s="118"/>
      <c r="C78" s="118"/>
      <c r="D78" s="118"/>
      <c r="E78" s="118"/>
      <c r="F78" s="118"/>
      <c r="G78" s="118"/>
      <c r="H78" s="118"/>
      <c r="I78" s="118"/>
      <c r="J78" s="137"/>
      <c r="K78" s="137"/>
      <c r="L78" s="137"/>
      <c r="M78" s="137"/>
      <c r="N78" s="137"/>
      <c r="O78" s="137"/>
    </row>
    <row r="79" spans="1:15">
      <c r="A79" s="115" t="s">
        <v>0</v>
      </c>
      <c r="B79" s="116" t="s">
        <v>76</v>
      </c>
      <c r="C79" s="117" t="s">
        <v>27</v>
      </c>
      <c r="D79" s="23" t="s">
        <v>8</v>
      </c>
      <c r="E79" s="23" t="s">
        <v>3</v>
      </c>
      <c r="F79" s="23" t="s">
        <v>3</v>
      </c>
      <c r="G79" s="23" t="s">
        <v>3</v>
      </c>
      <c r="H79" s="23" t="s">
        <v>3</v>
      </c>
      <c r="I79" s="115" t="s">
        <v>4</v>
      </c>
      <c r="J79" s="136" t="s">
        <v>78</v>
      </c>
      <c r="K79" s="137"/>
      <c r="L79" s="137"/>
      <c r="M79" s="137"/>
      <c r="N79" s="137"/>
      <c r="O79" s="137"/>
    </row>
    <row r="80" spans="1:15">
      <c r="A80" s="118"/>
      <c r="B80" s="118"/>
      <c r="C80" s="119"/>
      <c r="D80" s="118" t="s">
        <v>79</v>
      </c>
      <c r="E80" s="118"/>
      <c r="F80" s="118"/>
      <c r="G80" s="118"/>
      <c r="H80" s="118"/>
      <c r="I80" s="118"/>
      <c r="J80" s="137"/>
      <c r="K80" s="137"/>
      <c r="L80" s="137"/>
      <c r="M80" s="137"/>
      <c r="N80" s="137"/>
      <c r="O80" s="137"/>
    </row>
    <row r="81" spans="1:15">
      <c r="A81" s="118"/>
      <c r="B81" s="118"/>
      <c r="C81" s="118"/>
      <c r="D81" s="118"/>
      <c r="E81" s="118"/>
      <c r="F81" s="118"/>
      <c r="G81" s="118"/>
      <c r="H81" s="118"/>
      <c r="I81" s="118"/>
      <c r="J81" s="137"/>
      <c r="K81" s="137"/>
      <c r="L81" s="137"/>
      <c r="M81" s="137"/>
      <c r="N81" s="137"/>
      <c r="O81" s="137"/>
    </row>
    <row r="82" spans="1:15">
      <c r="A82" s="25" t="s">
        <v>0</v>
      </c>
      <c r="B82" s="26" t="s">
        <v>80</v>
      </c>
      <c r="C82" s="26" t="s">
        <v>23</v>
      </c>
      <c r="D82" s="36" t="s">
        <v>3</v>
      </c>
      <c r="E82" s="36" t="s">
        <v>3</v>
      </c>
      <c r="F82" s="36" t="s">
        <v>3</v>
      </c>
      <c r="G82" s="36" t="s">
        <v>3</v>
      </c>
      <c r="H82" s="6" t="s">
        <v>3</v>
      </c>
      <c r="I82" s="44" t="s">
        <v>4</v>
      </c>
      <c r="J82" s="64" t="s">
        <v>81</v>
      </c>
      <c r="K82" s="80"/>
      <c r="L82" s="80"/>
      <c r="M82" s="80"/>
      <c r="N82" s="80"/>
      <c r="O82" s="101"/>
    </row>
    <row r="83" spans="1:15">
      <c r="A83" s="10"/>
      <c r="B83" s="41"/>
      <c r="C83" s="43"/>
      <c r="D83" s="37"/>
      <c r="E83" s="37"/>
      <c r="F83" s="37"/>
      <c r="G83" s="37"/>
      <c r="H83" s="43"/>
      <c r="I83" s="43"/>
      <c r="J83" s="81"/>
      <c r="K83" s="82"/>
      <c r="L83" s="82"/>
      <c r="M83" s="82"/>
      <c r="N83" s="82"/>
      <c r="O83" s="102"/>
    </row>
    <row r="84" spans="1:15">
      <c r="A84" s="34"/>
      <c r="B84" s="35"/>
      <c r="C84" s="4"/>
      <c r="D84" s="4"/>
      <c r="E84" s="4"/>
      <c r="F84" s="4"/>
      <c r="G84" s="4"/>
      <c r="H84" s="4"/>
      <c r="I84" s="4"/>
      <c r="J84" s="81"/>
      <c r="K84" s="82"/>
      <c r="L84" s="82"/>
      <c r="M84" s="82"/>
      <c r="N84" s="82"/>
      <c r="O84" s="102"/>
    </row>
    <row r="85" spans="1:15">
      <c r="A85" s="34"/>
      <c r="B85" s="35"/>
      <c r="C85" s="4"/>
      <c r="D85" s="4"/>
      <c r="E85" s="4"/>
      <c r="F85" s="4"/>
      <c r="G85" s="4"/>
      <c r="H85" s="4"/>
      <c r="I85" s="4"/>
      <c r="J85" s="81"/>
      <c r="K85" s="82"/>
      <c r="L85" s="82"/>
      <c r="M85" s="82"/>
      <c r="N85" s="82"/>
      <c r="O85" s="102"/>
    </row>
    <row r="86" spans="1:15">
      <c r="A86" s="34"/>
      <c r="B86" s="35"/>
      <c r="C86" s="4"/>
      <c r="D86" s="4"/>
      <c r="E86" s="4"/>
      <c r="F86" s="4"/>
      <c r="G86" s="4"/>
      <c r="H86" s="4"/>
      <c r="I86" s="4"/>
      <c r="J86" s="81"/>
      <c r="K86" s="82"/>
      <c r="L86" s="82"/>
      <c r="M86" s="82"/>
      <c r="N86" s="82"/>
      <c r="O86" s="102"/>
    </row>
    <row r="87" spans="1:15">
      <c r="A87" s="34"/>
      <c r="B87" s="35"/>
      <c r="C87" s="4"/>
      <c r="D87" s="4"/>
      <c r="E87" s="4"/>
      <c r="F87" s="4"/>
      <c r="G87" s="4"/>
      <c r="H87" s="4"/>
      <c r="I87" s="4"/>
      <c r="J87" s="81"/>
      <c r="K87" s="82"/>
      <c r="L87" s="82"/>
      <c r="M87" s="82"/>
      <c r="N87" s="82"/>
      <c r="O87" s="102"/>
    </row>
    <row r="88" spans="1:15">
      <c r="A88" s="34"/>
      <c r="B88" s="35"/>
      <c r="C88" s="4"/>
      <c r="D88" s="4"/>
      <c r="E88" s="4"/>
      <c r="F88" s="4"/>
      <c r="G88" s="4"/>
      <c r="H88" s="4"/>
      <c r="I88" s="4"/>
      <c r="J88" s="81"/>
      <c r="K88" s="82"/>
      <c r="L88" s="82"/>
      <c r="M88" s="82"/>
      <c r="N88" s="82"/>
      <c r="O88" s="102"/>
    </row>
    <row r="89" spans="1:15">
      <c r="A89" s="103"/>
      <c r="B89" s="104"/>
      <c r="C89" s="20"/>
      <c r="D89" s="20"/>
      <c r="E89" s="20"/>
      <c r="F89" s="20"/>
      <c r="G89" s="20"/>
      <c r="H89" s="20"/>
      <c r="I89" s="20"/>
      <c r="J89" s="125"/>
      <c r="K89" s="126"/>
      <c r="L89" s="126"/>
      <c r="M89" s="126"/>
      <c r="N89" s="126"/>
      <c r="O89" s="138"/>
    </row>
    <row r="90" spans="1:15">
      <c r="A90" s="115" t="s">
        <v>0</v>
      </c>
      <c r="B90" s="116" t="s">
        <v>80</v>
      </c>
      <c r="C90" s="116" t="s">
        <v>27</v>
      </c>
      <c r="D90" s="117" t="s">
        <v>82</v>
      </c>
      <c r="E90" s="117" t="s">
        <v>60</v>
      </c>
      <c r="F90" s="117" t="s">
        <v>61</v>
      </c>
      <c r="G90" s="117" t="s">
        <v>3</v>
      </c>
      <c r="H90" s="117" t="s">
        <v>82</v>
      </c>
      <c r="I90" s="118" t="s">
        <v>60</v>
      </c>
      <c r="J90" s="118" t="s">
        <v>61</v>
      </c>
      <c r="K90" s="118" t="s">
        <v>3</v>
      </c>
      <c r="L90" s="118" t="s">
        <v>3</v>
      </c>
      <c r="M90" s="118" t="s">
        <v>4</v>
      </c>
      <c r="N90" s="142" t="s">
        <v>83</v>
      </c>
      <c r="O90" s="143"/>
    </row>
    <row r="91" spans="1:15">
      <c r="A91" s="23"/>
      <c r="B91" s="117"/>
      <c r="C91" s="23"/>
      <c r="D91" s="120" t="s">
        <v>84</v>
      </c>
      <c r="E91" s="123" t="s">
        <v>63</v>
      </c>
      <c r="F91" s="123" t="s">
        <v>64</v>
      </c>
      <c r="G91" s="123" t="s">
        <v>65</v>
      </c>
      <c r="H91" s="124" t="s">
        <v>85</v>
      </c>
      <c r="I91" s="122" t="s">
        <v>63</v>
      </c>
      <c r="J91" s="122" t="s">
        <v>64</v>
      </c>
      <c r="K91" s="122" t="s">
        <v>65</v>
      </c>
      <c r="L91" s="118"/>
      <c r="M91" s="118"/>
      <c r="N91" s="34"/>
      <c r="O91" s="18"/>
    </row>
    <row r="92" spans="1:15">
      <c r="A92" s="118"/>
      <c r="B92" s="121"/>
      <c r="C92" s="118"/>
      <c r="D92" s="122" t="s">
        <v>86</v>
      </c>
      <c r="E92" s="118"/>
      <c r="F92" s="118"/>
      <c r="G92" s="118"/>
      <c r="H92" s="122" t="s">
        <v>86</v>
      </c>
      <c r="I92" s="118"/>
      <c r="J92" s="118"/>
      <c r="K92" s="118"/>
      <c r="L92" s="118"/>
      <c r="M92" s="118"/>
      <c r="N92" s="34"/>
      <c r="O92" s="18"/>
    </row>
    <row r="93" spans="1:15">
      <c r="A93" s="118"/>
      <c r="B93" s="121"/>
      <c r="C93" s="118"/>
      <c r="D93" s="122" t="s">
        <v>87</v>
      </c>
      <c r="E93" s="118"/>
      <c r="F93" s="118"/>
      <c r="G93" s="118"/>
      <c r="H93" s="122" t="s">
        <v>87</v>
      </c>
      <c r="I93" s="118"/>
      <c r="J93" s="118"/>
      <c r="K93" s="118"/>
      <c r="L93" s="118"/>
      <c r="M93" s="118"/>
      <c r="N93" s="34"/>
      <c r="O93" s="18"/>
    </row>
    <row r="94" spans="1:15">
      <c r="A94" s="118"/>
      <c r="B94" s="121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34"/>
      <c r="O94" s="18"/>
    </row>
    <row r="95" spans="1:15">
      <c r="A95" s="118"/>
      <c r="B95" s="121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34"/>
      <c r="O95" s="18"/>
    </row>
    <row r="96" spans="1:15">
      <c r="A96" s="118"/>
      <c r="B96" s="121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34"/>
      <c r="O96" s="18"/>
    </row>
    <row r="97" spans="1:15">
      <c r="A97" s="118"/>
      <c r="B97" s="121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03"/>
      <c r="O97" s="21"/>
    </row>
  </sheetData>
  <mergeCells count="19">
    <mergeCell ref="A3:O3"/>
    <mergeCell ref="O4:O5"/>
    <mergeCell ref="J1:O2"/>
    <mergeCell ref="J7:O13"/>
    <mergeCell ref="J15:O16"/>
    <mergeCell ref="J18:O22"/>
    <mergeCell ref="J24:O32"/>
    <mergeCell ref="J34:O46"/>
    <mergeCell ref="J48:O49"/>
    <mergeCell ref="J51:O52"/>
    <mergeCell ref="J54:O55"/>
    <mergeCell ref="J57:O58"/>
    <mergeCell ref="J60:O67"/>
    <mergeCell ref="J69:O71"/>
    <mergeCell ref="J76:O78"/>
    <mergeCell ref="J79:O81"/>
    <mergeCell ref="J82:O89"/>
    <mergeCell ref="N90:O97"/>
    <mergeCell ref="J73:O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5"/>
  <sheetViews>
    <sheetView zoomScale="101" zoomScaleNormal="101" workbookViewId="0">
      <selection activeCell="P180" sqref="P180"/>
    </sheetView>
  </sheetViews>
  <sheetFormatPr defaultColWidth="9.23076923076923" defaultRowHeight="16.8"/>
  <cols>
    <col min="1" max="1" width="30.4423076923077" customWidth="1"/>
    <col min="5" max="5" width="15.7115384615385" customWidth="1"/>
    <col min="9" max="9" width="15.3846153846154" customWidth="1"/>
  </cols>
  <sheetData>
    <row r="1" spans="1:10">
      <c r="A1" s="1" t="s">
        <v>88</v>
      </c>
      <c r="B1" s="1" t="s">
        <v>21</v>
      </c>
      <c r="C1" s="1" t="s">
        <v>89</v>
      </c>
      <c r="E1" s="1" t="s">
        <v>90</v>
      </c>
      <c r="F1" s="1" t="s">
        <v>91</v>
      </c>
      <c r="G1" s="1" t="s">
        <v>89</v>
      </c>
      <c r="I1" s="1" t="s">
        <v>92</v>
      </c>
      <c r="J1" s="1" t="s">
        <v>91</v>
      </c>
    </row>
    <row r="2" spans="1:14">
      <c r="A2" s="22" t="s">
        <v>93</v>
      </c>
      <c r="B2" s="22">
        <f ca="1">DEC2HEX(B2)</f>
        <v>0</v>
      </c>
      <c r="C2" s="23">
        <f ca="1" t="shared" ref="C2:C65" si="0">_xlfn.CONCAT(IF(B2&gt;15,"0x","0x0"),DEC2HEX(B2))</f>
        <v>0</v>
      </c>
      <c r="D2" s="24"/>
      <c r="E2" s="22" t="s">
        <v>94</v>
      </c>
      <c r="F2" s="22">
        <v>1</v>
      </c>
      <c r="G2" s="23" t="str">
        <f t="shared" ref="G2:G34" si="1">_xlfn.CONCAT(IF(F2&gt;15,"0x","0x0"),DEC2HEX(F2))</f>
        <v>0x01</v>
      </c>
      <c r="H2" s="24"/>
      <c r="I2" s="22" t="s">
        <v>95</v>
      </c>
      <c r="J2" s="22">
        <v>1</v>
      </c>
      <c r="K2" s="24"/>
      <c r="L2" s="24"/>
      <c r="M2" s="24"/>
      <c r="N2" s="24"/>
    </row>
    <row r="3" spans="1:14">
      <c r="A3" s="23" t="s">
        <v>96</v>
      </c>
      <c r="B3" s="23">
        <v>1</v>
      </c>
      <c r="C3" s="23" t="str">
        <f t="shared" si="0"/>
        <v>0x01</v>
      </c>
      <c r="D3" s="24"/>
      <c r="E3" s="23" t="s">
        <v>97</v>
      </c>
      <c r="F3" s="23">
        <v>2</v>
      </c>
      <c r="G3" s="23" t="str">
        <f t="shared" si="1"/>
        <v>0x02</v>
      </c>
      <c r="H3" s="24"/>
      <c r="I3" s="23" t="s">
        <v>98</v>
      </c>
      <c r="J3" s="23">
        <v>2</v>
      </c>
      <c r="K3" s="24"/>
      <c r="L3" s="24"/>
      <c r="M3" s="24"/>
      <c r="N3" s="24"/>
    </row>
    <row r="4" spans="1:14">
      <c r="A4" s="22" t="s">
        <v>99</v>
      </c>
      <c r="B4" s="22">
        <v>2</v>
      </c>
      <c r="C4" s="23" t="str">
        <f t="shared" si="0"/>
        <v>0x02</v>
      </c>
      <c r="D4" s="24"/>
      <c r="E4" s="22" t="s">
        <v>100</v>
      </c>
      <c r="F4" s="22">
        <v>3</v>
      </c>
      <c r="G4" s="23" t="str">
        <f t="shared" si="1"/>
        <v>0x03</v>
      </c>
      <c r="H4" s="24"/>
      <c r="I4" s="22" t="s">
        <v>101</v>
      </c>
      <c r="J4" s="22">
        <v>3</v>
      </c>
      <c r="K4" s="24"/>
      <c r="L4" s="24"/>
      <c r="M4" s="24"/>
      <c r="N4" s="24"/>
    </row>
    <row r="5" spans="1:14">
      <c r="A5" s="23" t="s">
        <v>102</v>
      </c>
      <c r="B5" s="23">
        <v>3</v>
      </c>
      <c r="C5" s="23" t="str">
        <f t="shared" si="0"/>
        <v>0x03</v>
      </c>
      <c r="D5" s="24"/>
      <c r="E5" s="23" t="s">
        <v>103</v>
      </c>
      <c r="F5" s="23">
        <v>4</v>
      </c>
      <c r="G5" s="23" t="str">
        <f t="shared" si="1"/>
        <v>0x04</v>
      </c>
      <c r="H5" s="24"/>
      <c r="I5" s="23" t="s">
        <v>104</v>
      </c>
      <c r="J5" s="23">
        <v>4</v>
      </c>
      <c r="K5" s="24"/>
      <c r="L5" s="24"/>
      <c r="M5" s="24"/>
      <c r="N5" s="24"/>
    </row>
    <row r="6" spans="1:14">
      <c r="A6" s="22" t="s">
        <v>105</v>
      </c>
      <c r="B6" s="22">
        <v>4</v>
      </c>
      <c r="C6" s="23" t="str">
        <f t="shared" si="0"/>
        <v>0x04</v>
      </c>
      <c r="D6" s="24"/>
      <c r="E6" s="22" t="s">
        <v>106</v>
      </c>
      <c r="F6" s="22">
        <v>5</v>
      </c>
      <c r="G6" s="23" t="str">
        <f t="shared" si="1"/>
        <v>0x05</v>
      </c>
      <c r="H6" s="24"/>
      <c r="I6" s="22" t="s">
        <v>107</v>
      </c>
      <c r="J6" s="22">
        <v>5</v>
      </c>
      <c r="K6" s="24"/>
      <c r="L6" s="24"/>
      <c r="M6" s="24"/>
      <c r="N6" s="24"/>
    </row>
    <row r="7" spans="1:14">
      <c r="A7" s="23" t="s">
        <v>108</v>
      </c>
      <c r="B7" s="23">
        <v>5</v>
      </c>
      <c r="C7" s="23" t="str">
        <f t="shared" si="0"/>
        <v>0x05</v>
      </c>
      <c r="D7" s="24"/>
      <c r="E7" s="23" t="s">
        <v>109</v>
      </c>
      <c r="F7" s="23">
        <v>6</v>
      </c>
      <c r="G7" s="23" t="str">
        <f t="shared" si="1"/>
        <v>0x06</v>
      </c>
      <c r="H7" s="24"/>
      <c r="I7" s="23" t="s">
        <v>110</v>
      </c>
      <c r="J7" s="23">
        <v>6</v>
      </c>
      <c r="K7" s="24"/>
      <c r="L7" s="24"/>
      <c r="M7" s="24"/>
      <c r="N7" s="24"/>
    </row>
    <row r="8" spans="1:14">
      <c r="A8" s="22" t="s">
        <v>111</v>
      </c>
      <c r="B8" s="22">
        <v>6</v>
      </c>
      <c r="C8" s="23" t="str">
        <f t="shared" si="0"/>
        <v>0x06</v>
      </c>
      <c r="D8" s="24"/>
      <c r="E8" s="22" t="s">
        <v>112</v>
      </c>
      <c r="F8" s="22">
        <v>7</v>
      </c>
      <c r="G8" s="23" t="str">
        <f t="shared" si="1"/>
        <v>0x07</v>
      </c>
      <c r="H8" s="24"/>
      <c r="I8" s="22" t="s">
        <v>113</v>
      </c>
      <c r="J8" s="22">
        <v>7</v>
      </c>
      <c r="K8" s="24"/>
      <c r="L8" s="24"/>
      <c r="M8" s="24"/>
      <c r="N8" s="24"/>
    </row>
    <row r="9" spans="1:14">
      <c r="A9" s="23" t="s">
        <v>114</v>
      </c>
      <c r="B9" s="23">
        <v>7</v>
      </c>
      <c r="C9" s="23" t="str">
        <f t="shared" si="0"/>
        <v>0x07</v>
      </c>
      <c r="D9" s="24"/>
      <c r="E9" s="23" t="s">
        <v>115</v>
      </c>
      <c r="F9" s="23">
        <v>8</v>
      </c>
      <c r="G9" s="23" t="str">
        <f t="shared" si="1"/>
        <v>0x08</v>
      </c>
      <c r="H9" s="24"/>
      <c r="I9" s="23" t="s">
        <v>116</v>
      </c>
      <c r="J9" s="23">
        <v>8</v>
      </c>
      <c r="K9" s="24"/>
      <c r="L9" s="24"/>
      <c r="M9" s="24"/>
      <c r="N9" s="24"/>
    </row>
    <row r="10" spans="1:14">
      <c r="A10" s="22" t="s">
        <v>117</v>
      </c>
      <c r="B10" s="22">
        <v>8</v>
      </c>
      <c r="C10" s="23" t="str">
        <f t="shared" si="0"/>
        <v>0x08</v>
      </c>
      <c r="D10" s="24"/>
      <c r="E10" s="22" t="s">
        <v>118</v>
      </c>
      <c r="F10" s="22">
        <v>9</v>
      </c>
      <c r="G10" s="23" t="str">
        <f t="shared" si="1"/>
        <v>0x09</v>
      </c>
      <c r="H10" s="24"/>
      <c r="I10" s="24"/>
      <c r="J10" s="24"/>
      <c r="K10" s="24"/>
      <c r="L10" s="24"/>
      <c r="M10" s="24"/>
      <c r="N10" s="24"/>
    </row>
    <row r="11" spans="1:14">
      <c r="A11" s="23" t="s">
        <v>119</v>
      </c>
      <c r="B11" s="23">
        <v>9</v>
      </c>
      <c r="C11" s="23" t="str">
        <f t="shared" si="0"/>
        <v>0x09</v>
      </c>
      <c r="D11" s="24"/>
      <c r="E11" s="23" t="s">
        <v>120</v>
      </c>
      <c r="F11" s="23">
        <v>10</v>
      </c>
      <c r="G11" s="23" t="str">
        <f t="shared" si="1"/>
        <v>0x0A</v>
      </c>
      <c r="H11" s="24"/>
      <c r="I11" s="24"/>
      <c r="J11" s="24"/>
      <c r="K11" s="24"/>
      <c r="L11" s="24"/>
      <c r="M11" s="24"/>
      <c r="N11" s="24"/>
    </row>
    <row r="12" spans="1:14">
      <c r="A12" s="22" t="s">
        <v>121</v>
      </c>
      <c r="B12" s="22">
        <v>10</v>
      </c>
      <c r="C12" s="23" t="str">
        <f t="shared" si="0"/>
        <v>0x0A</v>
      </c>
      <c r="D12" s="24"/>
      <c r="E12" s="22" t="s">
        <v>122</v>
      </c>
      <c r="F12" s="22">
        <v>11</v>
      </c>
      <c r="G12" s="23" t="str">
        <f t="shared" si="1"/>
        <v>0x0B</v>
      </c>
      <c r="H12" s="24"/>
      <c r="I12" s="24"/>
      <c r="J12" s="24"/>
      <c r="K12" s="24"/>
      <c r="L12" s="24"/>
      <c r="M12" s="24"/>
      <c r="N12" s="24"/>
    </row>
    <row r="13" spans="1:14">
      <c r="A13" s="23" t="s">
        <v>123</v>
      </c>
      <c r="B13" s="23">
        <v>11</v>
      </c>
      <c r="C13" s="23" t="str">
        <f t="shared" si="0"/>
        <v>0x0B</v>
      </c>
      <c r="D13" s="24"/>
      <c r="E13" s="23" t="s">
        <v>124</v>
      </c>
      <c r="F13" s="23">
        <v>12</v>
      </c>
      <c r="G13" s="23" t="str">
        <f t="shared" si="1"/>
        <v>0x0C</v>
      </c>
      <c r="H13" s="24"/>
      <c r="I13" s="24"/>
      <c r="J13" s="24"/>
      <c r="K13" s="24"/>
      <c r="L13" s="24"/>
      <c r="M13" s="24"/>
      <c r="N13" s="24"/>
    </row>
    <row r="14" spans="1:14">
      <c r="A14" s="22" t="s">
        <v>125</v>
      </c>
      <c r="B14" s="22">
        <v>12</v>
      </c>
      <c r="C14" s="23" t="str">
        <f t="shared" si="0"/>
        <v>0x0C</v>
      </c>
      <c r="D14" s="24"/>
      <c r="E14" s="22" t="s">
        <v>126</v>
      </c>
      <c r="F14" s="22">
        <v>13</v>
      </c>
      <c r="G14" s="23" t="str">
        <f t="shared" si="1"/>
        <v>0x0D</v>
      </c>
      <c r="H14" s="24"/>
      <c r="I14" s="24"/>
      <c r="J14" s="24"/>
      <c r="K14" s="24"/>
      <c r="L14" s="24"/>
      <c r="M14" s="24"/>
      <c r="N14" s="24"/>
    </row>
    <row r="15" spans="1:14">
      <c r="A15" s="23" t="s">
        <v>127</v>
      </c>
      <c r="B15" s="23">
        <v>13</v>
      </c>
      <c r="C15" s="23" t="str">
        <f t="shared" si="0"/>
        <v>0x0D</v>
      </c>
      <c r="D15" s="24"/>
      <c r="E15" s="23" t="s">
        <v>128</v>
      </c>
      <c r="F15" s="23">
        <v>14</v>
      </c>
      <c r="G15" s="23" t="str">
        <f t="shared" si="1"/>
        <v>0x0E</v>
      </c>
      <c r="H15" s="24"/>
      <c r="I15" s="24"/>
      <c r="J15" s="24"/>
      <c r="K15" s="24"/>
      <c r="L15" s="24"/>
      <c r="M15" s="24"/>
      <c r="N15" s="24"/>
    </row>
    <row r="16" spans="1:14">
      <c r="A16" s="22" t="s">
        <v>129</v>
      </c>
      <c r="B16" s="22">
        <v>14</v>
      </c>
      <c r="C16" s="23" t="str">
        <f t="shared" si="0"/>
        <v>0x0E</v>
      </c>
      <c r="D16" s="24"/>
      <c r="E16" s="22" t="s">
        <v>130</v>
      </c>
      <c r="F16" s="22">
        <v>15</v>
      </c>
      <c r="G16" s="23" t="str">
        <f t="shared" si="1"/>
        <v>0x0F</v>
      </c>
      <c r="H16" s="24"/>
      <c r="I16" s="24"/>
      <c r="J16" s="24"/>
      <c r="K16" s="24"/>
      <c r="L16" s="24"/>
      <c r="M16" s="24"/>
      <c r="N16" s="24"/>
    </row>
    <row r="17" spans="1:14">
      <c r="A17" s="23" t="s">
        <v>131</v>
      </c>
      <c r="B17" s="23">
        <v>15</v>
      </c>
      <c r="C17" s="23" t="str">
        <f t="shared" si="0"/>
        <v>0x0F</v>
      </c>
      <c r="D17" s="24"/>
      <c r="E17" s="23" t="s">
        <v>132</v>
      </c>
      <c r="F17" s="23">
        <v>16</v>
      </c>
      <c r="G17" s="23" t="str">
        <f t="shared" si="1"/>
        <v>0x10</v>
      </c>
      <c r="H17" s="24"/>
      <c r="I17" s="24"/>
      <c r="J17" s="24"/>
      <c r="K17" s="24"/>
      <c r="L17" s="24"/>
      <c r="M17" s="24"/>
      <c r="N17" s="24"/>
    </row>
    <row r="18" spans="1:14">
      <c r="A18" s="22" t="s">
        <v>133</v>
      </c>
      <c r="B18" s="22">
        <v>16</v>
      </c>
      <c r="C18" s="23" t="str">
        <f t="shared" si="0"/>
        <v>0x10</v>
      </c>
      <c r="D18" s="24"/>
      <c r="E18" s="22" t="s">
        <v>134</v>
      </c>
      <c r="F18" s="22">
        <v>17</v>
      </c>
      <c r="G18" s="23" t="str">
        <f t="shared" si="1"/>
        <v>0x11</v>
      </c>
      <c r="H18" s="24"/>
      <c r="I18" s="24"/>
      <c r="J18" s="24"/>
      <c r="K18" s="24"/>
      <c r="L18" s="24"/>
      <c r="M18" s="24"/>
      <c r="N18" s="24"/>
    </row>
    <row r="19" spans="1:14">
      <c r="A19" s="23" t="s">
        <v>135</v>
      </c>
      <c r="B19" s="23">
        <v>17</v>
      </c>
      <c r="C19" s="23" t="str">
        <f t="shared" si="0"/>
        <v>0x11</v>
      </c>
      <c r="D19" s="24"/>
      <c r="E19" s="23" t="s">
        <v>136</v>
      </c>
      <c r="F19" s="23">
        <v>18</v>
      </c>
      <c r="G19" s="23" t="str">
        <f t="shared" si="1"/>
        <v>0x12</v>
      </c>
      <c r="H19" s="24"/>
      <c r="I19" s="24"/>
      <c r="J19" s="24"/>
      <c r="K19" s="24"/>
      <c r="L19" s="24"/>
      <c r="M19" s="24"/>
      <c r="N19" s="24"/>
    </row>
    <row r="20" spans="1:14">
      <c r="A20" s="22" t="s">
        <v>137</v>
      </c>
      <c r="B20" s="22">
        <v>18</v>
      </c>
      <c r="C20" s="23" t="str">
        <f t="shared" si="0"/>
        <v>0x12</v>
      </c>
      <c r="D20" s="24"/>
      <c r="E20" s="22" t="s">
        <v>138</v>
      </c>
      <c r="F20" s="22">
        <v>19</v>
      </c>
      <c r="G20" s="23" t="str">
        <f t="shared" si="1"/>
        <v>0x13</v>
      </c>
      <c r="H20" s="24"/>
      <c r="I20" s="24"/>
      <c r="J20" s="24"/>
      <c r="K20" s="24"/>
      <c r="L20" s="24"/>
      <c r="M20" s="24"/>
      <c r="N20" s="24"/>
    </row>
    <row r="21" spans="1:14">
      <c r="A21" s="23" t="s">
        <v>139</v>
      </c>
      <c r="B21" s="23">
        <v>19</v>
      </c>
      <c r="C21" s="23" t="str">
        <f t="shared" si="0"/>
        <v>0x13</v>
      </c>
      <c r="D21" s="24"/>
      <c r="E21" s="23" t="s">
        <v>140</v>
      </c>
      <c r="F21" s="23">
        <v>20</v>
      </c>
      <c r="G21" s="23" t="str">
        <f t="shared" si="1"/>
        <v>0x14</v>
      </c>
      <c r="H21" s="24"/>
      <c r="I21" s="24"/>
      <c r="J21" s="24"/>
      <c r="K21" s="24"/>
      <c r="L21" s="24"/>
      <c r="M21" s="24"/>
      <c r="N21" s="24"/>
    </row>
    <row r="22" spans="1:14">
      <c r="A22" s="22" t="s">
        <v>141</v>
      </c>
      <c r="B22" s="22">
        <v>20</v>
      </c>
      <c r="C22" s="23" t="str">
        <f t="shared" si="0"/>
        <v>0x14</v>
      </c>
      <c r="D22" s="24"/>
      <c r="E22" s="22" t="s">
        <v>142</v>
      </c>
      <c r="F22" s="22">
        <v>21</v>
      </c>
      <c r="G22" s="23" t="str">
        <f t="shared" si="1"/>
        <v>0x15</v>
      </c>
      <c r="H22" s="24"/>
      <c r="I22" s="24"/>
      <c r="J22" s="24"/>
      <c r="K22" s="24"/>
      <c r="L22" s="24"/>
      <c r="M22" s="24"/>
      <c r="N22" s="24"/>
    </row>
    <row r="23" spans="1:14">
      <c r="A23" s="23" t="s">
        <v>143</v>
      </c>
      <c r="B23" s="23">
        <v>21</v>
      </c>
      <c r="C23" s="23" t="str">
        <f t="shared" si="0"/>
        <v>0x15</v>
      </c>
      <c r="D23" s="24"/>
      <c r="E23" s="23" t="s">
        <v>144</v>
      </c>
      <c r="F23" s="23">
        <v>22</v>
      </c>
      <c r="G23" s="23" t="str">
        <f t="shared" si="1"/>
        <v>0x16</v>
      </c>
      <c r="H23" s="24"/>
      <c r="I23" s="24"/>
      <c r="J23" s="24"/>
      <c r="K23" s="24"/>
      <c r="L23" s="24"/>
      <c r="M23" s="24"/>
      <c r="N23" s="24"/>
    </row>
    <row r="24" spans="1:14">
      <c r="A24" s="22" t="s">
        <v>145</v>
      </c>
      <c r="B24" s="22">
        <v>22</v>
      </c>
      <c r="C24" s="23" t="str">
        <f t="shared" si="0"/>
        <v>0x16</v>
      </c>
      <c r="D24" s="24"/>
      <c r="E24" s="22" t="s">
        <v>146</v>
      </c>
      <c r="F24" s="22">
        <v>23</v>
      </c>
      <c r="G24" s="23" t="str">
        <f t="shared" si="1"/>
        <v>0x17</v>
      </c>
      <c r="H24" s="24"/>
      <c r="I24" s="24"/>
      <c r="J24" s="24"/>
      <c r="K24" s="24"/>
      <c r="L24" s="24"/>
      <c r="M24" s="24"/>
      <c r="N24" s="24"/>
    </row>
    <row r="25" spans="1:14">
      <c r="A25" s="23" t="s">
        <v>147</v>
      </c>
      <c r="B25" s="23">
        <v>23</v>
      </c>
      <c r="C25" s="23" t="str">
        <f t="shared" si="0"/>
        <v>0x17</v>
      </c>
      <c r="D25" s="24"/>
      <c r="E25" s="23" t="s">
        <v>148</v>
      </c>
      <c r="F25" s="23">
        <v>24</v>
      </c>
      <c r="G25" s="23" t="str">
        <f t="shared" si="1"/>
        <v>0x18</v>
      </c>
      <c r="H25" s="24"/>
      <c r="I25" s="24"/>
      <c r="J25" s="24"/>
      <c r="K25" s="24"/>
      <c r="L25" s="24"/>
      <c r="M25" s="24"/>
      <c r="N25" s="24"/>
    </row>
    <row r="26" spans="1:14">
      <c r="A26" s="22" t="s">
        <v>149</v>
      </c>
      <c r="B26" s="22">
        <v>24</v>
      </c>
      <c r="C26" s="23" t="str">
        <f t="shared" si="0"/>
        <v>0x18</v>
      </c>
      <c r="D26" s="24"/>
      <c r="E26" s="22" t="s">
        <v>150</v>
      </c>
      <c r="F26" s="22">
        <v>25</v>
      </c>
      <c r="G26" s="23" t="str">
        <f t="shared" si="1"/>
        <v>0x19</v>
      </c>
      <c r="H26" s="24"/>
      <c r="I26" s="24"/>
      <c r="J26" s="24"/>
      <c r="K26" s="24"/>
      <c r="L26" s="24"/>
      <c r="M26" s="24"/>
      <c r="N26" s="24"/>
    </row>
    <row r="27" spans="1:14">
      <c r="A27" s="23" t="s">
        <v>151</v>
      </c>
      <c r="B27" s="23">
        <v>25</v>
      </c>
      <c r="C27" s="23" t="str">
        <f t="shared" si="0"/>
        <v>0x19</v>
      </c>
      <c r="D27" s="24"/>
      <c r="E27" s="23" t="s">
        <v>152</v>
      </c>
      <c r="F27" s="23">
        <v>26</v>
      </c>
      <c r="G27" s="23" t="str">
        <f t="shared" si="1"/>
        <v>0x1A</v>
      </c>
      <c r="H27" s="24"/>
      <c r="I27" s="24"/>
      <c r="J27" s="24"/>
      <c r="K27" s="24"/>
      <c r="L27" s="24"/>
      <c r="M27" s="24"/>
      <c r="N27" s="24"/>
    </row>
    <row r="28" spans="1:14">
      <c r="A28" s="22" t="s">
        <v>153</v>
      </c>
      <c r="B28" s="22">
        <v>26</v>
      </c>
      <c r="C28" s="23" t="str">
        <f t="shared" si="0"/>
        <v>0x1A</v>
      </c>
      <c r="D28" s="24"/>
      <c r="E28" s="22" t="s">
        <v>154</v>
      </c>
      <c r="F28" s="22">
        <v>27</v>
      </c>
      <c r="G28" s="23" t="str">
        <f t="shared" si="1"/>
        <v>0x1B</v>
      </c>
      <c r="H28" s="24"/>
      <c r="I28" s="24"/>
      <c r="J28" s="24"/>
      <c r="K28" s="24"/>
      <c r="L28" s="24"/>
      <c r="M28" s="24"/>
      <c r="N28" s="24"/>
    </row>
    <row r="29" spans="1:14">
      <c r="A29" s="23" t="s">
        <v>155</v>
      </c>
      <c r="B29" s="23">
        <v>27</v>
      </c>
      <c r="C29" s="23" t="str">
        <f t="shared" si="0"/>
        <v>0x1B</v>
      </c>
      <c r="D29" s="24"/>
      <c r="E29" s="23" t="s">
        <v>156</v>
      </c>
      <c r="F29" s="23">
        <v>28</v>
      </c>
      <c r="G29" s="23" t="str">
        <f t="shared" si="1"/>
        <v>0x1C</v>
      </c>
      <c r="H29" s="24"/>
      <c r="I29" s="24"/>
      <c r="J29" s="24"/>
      <c r="K29" s="24"/>
      <c r="L29" s="24"/>
      <c r="M29" s="24"/>
      <c r="N29" s="24"/>
    </row>
    <row r="30" spans="1:14">
      <c r="A30" s="22" t="s">
        <v>157</v>
      </c>
      <c r="B30" s="22">
        <v>28</v>
      </c>
      <c r="C30" s="23" t="str">
        <f t="shared" si="0"/>
        <v>0x1C</v>
      </c>
      <c r="D30" s="24"/>
      <c r="E30" s="22" t="s">
        <v>158</v>
      </c>
      <c r="F30" s="22">
        <v>29</v>
      </c>
      <c r="G30" s="23" t="str">
        <f t="shared" si="1"/>
        <v>0x1D</v>
      </c>
      <c r="H30" s="24"/>
      <c r="I30" s="24"/>
      <c r="J30" s="24"/>
      <c r="K30" s="24"/>
      <c r="L30" s="24"/>
      <c r="M30" s="24"/>
      <c r="N30" s="24"/>
    </row>
    <row r="31" spans="1:14">
      <c r="A31" s="23" t="s">
        <v>159</v>
      </c>
      <c r="B31" s="23">
        <v>29</v>
      </c>
      <c r="C31" s="23" t="str">
        <f t="shared" si="0"/>
        <v>0x1D</v>
      </c>
      <c r="D31" s="24"/>
      <c r="E31" s="23" t="s">
        <v>160</v>
      </c>
      <c r="F31" s="23">
        <v>30</v>
      </c>
      <c r="G31" s="23" t="str">
        <f t="shared" si="1"/>
        <v>0x1E</v>
      </c>
      <c r="H31" s="24"/>
      <c r="I31" s="24"/>
      <c r="J31" s="24"/>
      <c r="K31" s="24"/>
      <c r="L31" s="24"/>
      <c r="M31" s="24"/>
      <c r="N31" s="24"/>
    </row>
    <row r="32" spans="1:14">
      <c r="A32" s="22" t="s">
        <v>161</v>
      </c>
      <c r="B32" s="22">
        <v>30</v>
      </c>
      <c r="C32" s="23" t="str">
        <f t="shared" si="0"/>
        <v>0x1E</v>
      </c>
      <c r="D32" s="24"/>
      <c r="E32" s="22" t="s">
        <v>162</v>
      </c>
      <c r="F32" s="22">
        <v>31</v>
      </c>
      <c r="G32" s="23" t="str">
        <f t="shared" si="1"/>
        <v>0x1F</v>
      </c>
      <c r="H32" s="24"/>
      <c r="I32" s="24"/>
      <c r="J32" s="24"/>
      <c r="K32" s="24"/>
      <c r="L32" s="24"/>
      <c r="M32" s="24"/>
      <c r="N32" s="24"/>
    </row>
    <row r="33" spans="1:14">
      <c r="A33" s="23" t="s">
        <v>163</v>
      </c>
      <c r="B33" s="23">
        <v>31</v>
      </c>
      <c r="C33" s="23" t="str">
        <f t="shared" si="0"/>
        <v>0x1F</v>
      </c>
      <c r="D33" s="24"/>
      <c r="E33" s="23" t="s">
        <v>164</v>
      </c>
      <c r="F33" s="23">
        <v>32</v>
      </c>
      <c r="G33" s="23" t="str">
        <f t="shared" si="1"/>
        <v>0x20</v>
      </c>
      <c r="H33" s="24"/>
      <c r="I33" s="24"/>
      <c r="J33" s="24"/>
      <c r="K33" s="24"/>
      <c r="L33" s="24"/>
      <c r="M33" s="24"/>
      <c r="N33" s="24"/>
    </row>
    <row r="34" spans="1:14">
      <c r="A34" s="22" t="s">
        <v>165</v>
      </c>
      <c r="B34" s="22">
        <v>32</v>
      </c>
      <c r="C34" s="23" t="str">
        <f t="shared" si="0"/>
        <v>0x20</v>
      </c>
      <c r="D34" s="24"/>
      <c r="E34" s="22" t="s">
        <v>166</v>
      </c>
      <c r="F34" s="22">
        <v>33</v>
      </c>
      <c r="G34" s="23" t="str">
        <f t="shared" si="1"/>
        <v>0x21</v>
      </c>
      <c r="H34" s="24"/>
      <c r="I34" s="24"/>
      <c r="J34" s="24"/>
      <c r="K34" s="24"/>
      <c r="L34" s="24"/>
      <c r="M34" s="24"/>
      <c r="N34" s="24"/>
    </row>
    <row r="35" spans="1:14">
      <c r="A35" s="23" t="s">
        <v>167</v>
      </c>
      <c r="B35" s="23">
        <v>33</v>
      </c>
      <c r="C35" s="23" t="str">
        <f t="shared" si="0"/>
        <v>0x21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>
      <c r="A36" s="22" t="s">
        <v>168</v>
      </c>
      <c r="B36" s="22">
        <v>34</v>
      </c>
      <c r="C36" s="23" t="str">
        <f t="shared" si="0"/>
        <v>0x22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>
      <c r="A37" s="23" t="s">
        <v>169</v>
      </c>
      <c r="B37" s="23">
        <v>35</v>
      </c>
      <c r="C37" s="23" t="str">
        <f t="shared" si="0"/>
        <v>0x23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>
      <c r="A38" s="22" t="s">
        <v>170</v>
      </c>
      <c r="B38" s="22">
        <v>36</v>
      </c>
      <c r="C38" s="23" t="str">
        <f t="shared" si="0"/>
        <v>0x24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>
      <c r="A39" s="23" t="s">
        <v>171</v>
      </c>
      <c r="B39" s="23">
        <v>37</v>
      </c>
      <c r="C39" s="23" t="str">
        <f t="shared" si="0"/>
        <v>0x25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>
      <c r="A40" s="22" t="s">
        <v>172</v>
      </c>
      <c r="B40" s="22">
        <v>38</v>
      </c>
      <c r="C40" s="23" t="str">
        <f t="shared" si="0"/>
        <v>0x26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>
      <c r="A41" s="23" t="s">
        <v>173</v>
      </c>
      <c r="B41" s="23">
        <v>39</v>
      </c>
      <c r="C41" s="23" t="str">
        <f t="shared" si="0"/>
        <v>0x27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>
      <c r="A42" s="22" t="s">
        <v>174</v>
      </c>
      <c r="B42" s="22">
        <v>40</v>
      </c>
      <c r="C42" s="23" t="str">
        <f t="shared" si="0"/>
        <v>0x28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>
      <c r="A43" s="23" t="s">
        <v>175</v>
      </c>
      <c r="B43" s="23">
        <v>41</v>
      </c>
      <c r="C43" s="23" t="str">
        <f t="shared" si="0"/>
        <v>0x29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>
      <c r="A44" s="22" t="s">
        <v>176</v>
      </c>
      <c r="B44" s="22">
        <v>42</v>
      </c>
      <c r="C44" s="23" t="str">
        <f t="shared" si="0"/>
        <v>0x2A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>
      <c r="A45" s="23" t="s">
        <v>177</v>
      </c>
      <c r="B45" s="23">
        <v>43</v>
      </c>
      <c r="C45" s="23" t="str">
        <f t="shared" si="0"/>
        <v>0x2B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>
      <c r="A46" s="22" t="s">
        <v>178</v>
      </c>
      <c r="B46" s="22">
        <v>44</v>
      </c>
      <c r="C46" s="23" t="str">
        <f t="shared" si="0"/>
        <v>0x2C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>
      <c r="A47" s="23" t="s">
        <v>179</v>
      </c>
      <c r="B47" s="23">
        <v>45</v>
      </c>
      <c r="C47" s="23" t="str">
        <f t="shared" si="0"/>
        <v>0x2D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>
      <c r="A48" s="22" t="s">
        <v>180</v>
      </c>
      <c r="B48" s="22">
        <v>46</v>
      </c>
      <c r="C48" s="23" t="str">
        <f t="shared" si="0"/>
        <v>0x2E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>
      <c r="A49" s="23" t="s">
        <v>181</v>
      </c>
      <c r="B49" s="23">
        <v>47</v>
      </c>
      <c r="C49" s="23" t="str">
        <f t="shared" si="0"/>
        <v>0x2F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>
      <c r="A50" s="22" t="s">
        <v>182</v>
      </c>
      <c r="B50" s="22">
        <v>48</v>
      </c>
      <c r="C50" s="23" t="str">
        <f t="shared" si="0"/>
        <v>0x30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>
      <c r="A51" s="23" t="s">
        <v>183</v>
      </c>
      <c r="B51" s="23">
        <v>49</v>
      </c>
      <c r="C51" s="23" t="str">
        <f t="shared" si="0"/>
        <v>0x31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>
      <c r="A52" s="22" t="s">
        <v>184</v>
      </c>
      <c r="B52" s="22">
        <v>50</v>
      </c>
      <c r="C52" s="23" t="str">
        <f t="shared" si="0"/>
        <v>0x32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>
      <c r="A53" s="23" t="s">
        <v>185</v>
      </c>
      <c r="B53" s="23">
        <v>51</v>
      </c>
      <c r="C53" s="23" t="str">
        <f t="shared" si="0"/>
        <v>0x33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>
      <c r="A54" s="22" t="s">
        <v>186</v>
      </c>
      <c r="B54" s="22">
        <v>52</v>
      </c>
      <c r="C54" s="23" t="str">
        <f t="shared" si="0"/>
        <v>0x34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>
      <c r="A55" s="23" t="s">
        <v>187</v>
      </c>
      <c r="B55" s="23">
        <v>53</v>
      </c>
      <c r="C55" s="23" t="str">
        <f t="shared" si="0"/>
        <v>0x35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>
      <c r="A56" s="22" t="s">
        <v>188</v>
      </c>
      <c r="B56" s="22">
        <v>54</v>
      </c>
      <c r="C56" s="23" t="str">
        <f t="shared" si="0"/>
        <v>0x36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>
      <c r="A57" s="23" t="s">
        <v>189</v>
      </c>
      <c r="B57" s="23">
        <v>55</v>
      </c>
      <c r="C57" s="23" t="str">
        <f t="shared" si="0"/>
        <v>0x37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>
      <c r="A58" s="22" t="s">
        <v>190</v>
      </c>
      <c r="B58" s="22">
        <v>56</v>
      </c>
      <c r="C58" s="23" t="str">
        <f t="shared" si="0"/>
        <v>0x38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>
      <c r="A59" s="23" t="s">
        <v>191</v>
      </c>
      <c r="B59" s="23">
        <v>57</v>
      </c>
      <c r="C59" s="23" t="str">
        <f t="shared" si="0"/>
        <v>0x39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>
      <c r="A60" s="22" t="s">
        <v>192</v>
      </c>
      <c r="B60" s="22">
        <v>58</v>
      </c>
      <c r="C60" s="23" t="str">
        <f t="shared" si="0"/>
        <v>0x3A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>
      <c r="A61" s="23" t="s">
        <v>193</v>
      </c>
      <c r="B61" s="23">
        <v>59</v>
      </c>
      <c r="C61" s="23" t="str">
        <f t="shared" si="0"/>
        <v>0x3B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>
      <c r="A62" s="22" t="s">
        <v>194</v>
      </c>
      <c r="B62" s="22">
        <v>60</v>
      </c>
      <c r="C62" s="23" t="str">
        <f t="shared" si="0"/>
        <v>0x3C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>
      <c r="A63" s="23" t="s">
        <v>195</v>
      </c>
      <c r="B63" s="23">
        <v>61</v>
      </c>
      <c r="C63" s="23" t="str">
        <f t="shared" si="0"/>
        <v>0x3D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>
      <c r="A64" s="22" t="s">
        <v>196</v>
      </c>
      <c r="B64" s="22">
        <v>62</v>
      </c>
      <c r="C64" s="23" t="str">
        <f t="shared" si="0"/>
        <v>0x3E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>
      <c r="A65" s="23" t="s">
        <v>197</v>
      </c>
      <c r="B65" s="23">
        <v>63</v>
      </c>
      <c r="C65" s="23" t="str">
        <f t="shared" si="0"/>
        <v>0x3F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>
      <c r="A66" s="22" t="s">
        <v>198</v>
      </c>
      <c r="B66" s="22">
        <v>64</v>
      </c>
      <c r="C66" s="23" t="str">
        <f t="shared" ref="C66:C129" si="2">_xlfn.CONCAT(IF(B66&gt;15,"0x","0x0"),DEC2HEX(B66))</f>
        <v>0x40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>
      <c r="A67" s="23" t="s">
        <v>199</v>
      </c>
      <c r="B67" s="23">
        <v>65</v>
      </c>
      <c r="C67" s="23" t="str">
        <f t="shared" si="2"/>
        <v>0x41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>
      <c r="A68" s="22" t="s">
        <v>200</v>
      </c>
      <c r="B68" s="22">
        <v>66</v>
      </c>
      <c r="C68" s="23" t="str">
        <f t="shared" si="2"/>
        <v>0x42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>
      <c r="A69" s="23" t="s">
        <v>201</v>
      </c>
      <c r="B69" s="23">
        <v>67</v>
      </c>
      <c r="C69" s="23" t="str">
        <f t="shared" si="2"/>
        <v>0x43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>
      <c r="A70" s="22" t="s">
        <v>202</v>
      </c>
      <c r="B70" s="22">
        <v>68</v>
      </c>
      <c r="C70" s="23" t="str">
        <f t="shared" si="2"/>
        <v>0x44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>
      <c r="A71" s="23" t="s">
        <v>203</v>
      </c>
      <c r="B71" s="23">
        <v>69</v>
      </c>
      <c r="C71" s="23" t="str">
        <f t="shared" si="2"/>
        <v>0x45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>
      <c r="A72" s="22" t="s">
        <v>204</v>
      </c>
      <c r="B72" s="22">
        <v>70</v>
      </c>
      <c r="C72" s="23" t="str">
        <f t="shared" si="2"/>
        <v>0x46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>
      <c r="A73" s="23" t="s">
        <v>205</v>
      </c>
      <c r="B73" s="23">
        <v>71</v>
      </c>
      <c r="C73" s="23" t="str">
        <f t="shared" si="2"/>
        <v>0x47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>
      <c r="A74" s="22" t="s">
        <v>206</v>
      </c>
      <c r="B74" s="22">
        <v>72</v>
      </c>
      <c r="C74" s="23" t="str">
        <f t="shared" si="2"/>
        <v>0x48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>
      <c r="A75" s="23" t="s">
        <v>207</v>
      </c>
      <c r="B75" s="23">
        <v>73</v>
      </c>
      <c r="C75" s="23" t="str">
        <f t="shared" si="2"/>
        <v>0x49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>
      <c r="A76" s="22" t="s">
        <v>208</v>
      </c>
      <c r="B76" s="22">
        <v>74</v>
      </c>
      <c r="C76" s="23" t="str">
        <f t="shared" si="2"/>
        <v>0x4A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>
      <c r="A77" s="23" t="s">
        <v>209</v>
      </c>
      <c r="B77" s="23">
        <v>75</v>
      </c>
      <c r="C77" s="23" t="str">
        <f t="shared" si="2"/>
        <v>0x4B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>
      <c r="A78" s="22" t="s">
        <v>210</v>
      </c>
      <c r="B78" s="22">
        <v>76</v>
      </c>
      <c r="C78" s="23" t="str">
        <f t="shared" si="2"/>
        <v>0x4C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>
      <c r="A79" s="23" t="s">
        <v>211</v>
      </c>
      <c r="B79" s="23">
        <v>77</v>
      </c>
      <c r="C79" s="23" t="str">
        <f t="shared" si="2"/>
        <v>0x4D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>
      <c r="A80" s="22" t="s">
        <v>212</v>
      </c>
      <c r="B80" s="22">
        <v>78</v>
      </c>
      <c r="C80" s="23" t="str">
        <f t="shared" si="2"/>
        <v>0x4E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>
      <c r="A81" s="23" t="s">
        <v>213</v>
      </c>
      <c r="B81" s="23">
        <v>79</v>
      </c>
      <c r="C81" s="23" t="str">
        <f t="shared" si="2"/>
        <v>0x4F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>
      <c r="A82" s="22" t="s">
        <v>214</v>
      </c>
      <c r="B82" s="22">
        <v>80</v>
      </c>
      <c r="C82" s="23" t="str">
        <f t="shared" si="2"/>
        <v>0x50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>
      <c r="A83" s="23" t="s">
        <v>215</v>
      </c>
      <c r="B83" s="23">
        <v>81</v>
      </c>
      <c r="C83" s="23" t="str">
        <f t="shared" si="2"/>
        <v>0x51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>
      <c r="A84" s="22" t="s">
        <v>216</v>
      </c>
      <c r="B84" s="22">
        <v>82</v>
      </c>
      <c r="C84" s="23" t="str">
        <f t="shared" si="2"/>
        <v>0x52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>
      <c r="A85" s="23" t="s">
        <v>217</v>
      </c>
      <c r="B85" s="23">
        <v>83</v>
      </c>
      <c r="C85" s="23" t="str">
        <f t="shared" si="2"/>
        <v>0x53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>
      <c r="A86" s="22" t="s">
        <v>218</v>
      </c>
      <c r="B86" s="22">
        <v>84</v>
      </c>
      <c r="C86" s="23" t="str">
        <f t="shared" si="2"/>
        <v>0x54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>
      <c r="A87" s="23" t="s">
        <v>219</v>
      </c>
      <c r="B87" s="23">
        <v>85</v>
      </c>
      <c r="C87" s="23" t="str">
        <f t="shared" si="2"/>
        <v>0x55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>
      <c r="A88" s="22" t="s">
        <v>220</v>
      </c>
      <c r="B88" s="22">
        <v>86</v>
      </c>
      <c r="C88" s="23" t="str">
        <f t="shared" si="2"/>
        <v>0x56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>
      <c r="A89" s="23" t="s">
        <v>221</v>
      </c>
      <c r="B89" s="23">
        <v>87</v>
      </c>
      <c r="C89" s="23" t="str">
        <f t="shared" si="2"/>
        <v>0x57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>
      <c r="A90" s="22" t="s">
        <v>222</v>
      </c>
      <c r="B90" s="22">
        <v>88</v>
      </c>
      <c r="C90" s="23" t="str">
        <f t="shared" si="2"/>
        <v>0x58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>
      <c r="A91" s="23" t="s">
        <v>223</v>
      </c>
      <c r="B91" s="23">
        <v>89</v>
      </c>
      <c r="C91" s="23" t="str">
        <f t="shared" si="2"/>
        <v>0x59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>
      <c r="A92" s="22" t="s">
        <v>224</v>
      </c>
      <c r="B92" s="22">
        <v>90</v>
      </c>
      <c r="C92" s="23" t="str">
        <f t="shared" si="2"/>
        <v>0x5A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>
      <c r="A93" s="23" t="s">
        <v>225</v>
      </c>
      <c r="B93" s="23">
        <v>91</v>
      </c>
      <c r="C93" s="23" t="str">
        <f t="shared" si="2"/>
        <v>0x5B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>
      <c r="A94" s="22" t="s">
        <v>226</v>
      </c>
      <c r="B94" s="22">
        <v>92</v>
      </c>
      <c r="C94" s="23" t="str">
        <f t="shared" si="2"/>
        <v>0x5C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>
      <c r="A95" s="23" t="s">
        <v>227</v>
      </c>
      <c r="B95" s="23">
        <v>93</v>
      </c>
      <c r="C95" s="23" t="str">
        <f t="shared" si="2"/>
        <v>0x5D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>
      <c r="A96" s="22" t="s">
        <v>228</v>
      </c>
      <c r="B96" s="22">
        <v>94</v>
      </c>
      <c r="C96" s="23" t="str">
        <f t="shared" si="2"/>
        <v>0x5E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>
      <c r="A97" s="23" t="s">
        <v>229</v>
      </c>
      <c r="B97" s="23">
        <v>95</v>
      </c>
      <c r="C97" s="23" t="str">
        <f t="shared" si="2"/>
        <v>0x5F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>
      <c r="A98" s="22" t="s">
        <v>230</v>
      </c>
      <c r="B98" s="22">
        <v>96</v>
      </c>
      <c r="C98" s="23" t="str">
        <f t="shared" si="2"/>
        <v>0x60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>
      <c r="A99" s="23" t="s">
        <v>231</v>
      </c>
      <c r="B99" s="23">
        <v>97</v>
      </c>
      <c r="C99" s="23" t="str">
        <f t="shared" si="2"/>
        <v>0x61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>
      <c r="A100" s="22" t="s">
        <v>232</v>
      </c>
      <c r="B100" s="22">
        <v>98</v>
      </c>
      <c r="C100" s="23" t="str">
        <f t="shared" si="2"/>
        <v>0x62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>
      <c r="A101" s="23" t="s">
        <v>233</v>
      </c>
      <c r="B101" s="23">
        <v>99</v>
      </c>
      <c r="C101" s="23" t="str">
        <f t="shared" si="2"/>
        <v>0x63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>
      <c r="A102" s="22" t="s">
        <v>234</v>
      </c>
      <c r="B102" s="22">
        <v>100</v>
      </c>
      <c r="C102" s="23" t="str">
        <f t="shared" si="2"/>
        <v>0x64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>
      <c r="A103" s="23" t="s">
        <v>235</v>
      </c>
      <c r="B103" s="23">
        <v>101</v>
      </c>
      <c r="C103" s="23" t="str">
        <f t="shared" si="2"/>
        <v>0x65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>
      <c r="A104" s="22" t="s">
        <v>236</v>
      </c>
      <c r="B104" s="22">
        <v>102</v>
      </c>
      <c r="C104" s="23" t="str">
        <f t="shared" si="2"/>
        <v>0x66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>
      <c r="A105" s="23" t="s">
        <v>237</v>
      </c>
      <c r="B105" s="23">
        <v>103</v>
      </c>
      <c r="C105" s="23" t="str">
        <f t="shared" si="2"/>
        <v>0x67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>
      <c r="A106" s="22" t="s">
        <v>238</v>
      </c>
      <c r="B106" s="22">
        <v>104</v>
      </c>
      <c r="C106" s="23" t="str">
        <f t="shared" si="2"/>
        <v>0x68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>
      <c r="A107" s="23" t="s">
        <v>239</v>
      </c>
      <c r="B107" s="23">
        <v>105</v>
      </c>
      <c r="C107" s="23" t="str">
        <f t="shared" si="2"/>
        <v>0x69</v>
      </c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>
      <c r="A108" s="22" t="s">
        <v>240</v>
      </c>
      <c r="B108" s="22">
        <v>106</v>
      </c>
      <c r="C108" s="23" t="str">
        <f t="shared" si="2"/>
        <v>0x6A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>
      <c r="A109" s="23" t="s">
        <v>241</v>
      </c>
      <c r="B109" s="23">
        <v>107</v>
      </c>
      <c r="C109" s="23" t="str">
        <f t="shared" si="2"/>
        <v>0x6B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>
      <c r="A110" s="22" t="s">
        <v>242</v>
      </c>
      <c r="B110" s="22">
        <v>108</v>
      </c>
      <c r="C110" s="23" t="str">
        <f t="shared" si="2"/>
        <v>0x6C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>
      <c r="A111" s="23" t="s">
        <v>243</v>
      </c>
      <c r="B111" s="23">
        <v>109</v>
      </c>
      <c r="C111" s="23" t="str">
        <f t="shared" si="2"/>
        <v>0x6D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>
      <c r="A112" s="22" t="s">
        <v>244</v>
      </c>
      <c r="B112" s="22">
        <v>110</v>
      </c>
      <c r="C112" s="23" t="str">
        <f t="shared" si="2"/>
        <v>0x6E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>
      <c r="A113" s="23" t="s">
        <v>245</v>
      </c>
      <c r="B113" s="23">
        <v>111</v>
      </c>
      <c r="C113" s="23" t="str">
        <f t="shared" si="2"/>
        <v>0x6F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>
      <c r="A114" s="22" t="s">
        <v>246</v>
      </c>
      <c r="B114" s="22">
        <v>112</v>
      </c>
      <c r="C114" s="23" t="str">
        <f t="shared" si="2"/>
        <v>0x70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>
      <c r="A115" s="23" t="s">
        <v>247</v>
      </c>
      <c r="B115" s="23">
        <v>113</v>
      </c>
      <c r="C115" s="23" t="str">
        <f t="shared" si="2"/>
        <v>0x71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>
      <c r="A116" s="22" t="s">
        <v>248</v>
      </c>
      <c r="B116" s="22">
        <v>114</v>
      </c>
      <c r="C116" s="23" t="str">
        <f t="shared" si="2"/>
        <v>0x72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>
      <c r="A117" s="23" t="s">
        <v>249</v>
      </c>
      <c r="B117" s="23">
        <v>115</v>
      </c>
      <c r="C117" s="23" t="str">
        <f t="shared" si="2"/>
        <v>0x73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>
      <c r="A118" s="22" t="s">
        <v>250</v>
      </c>
      <c r="B118" s="22">
        <v>116</v>
      </c>
      <c r="C118" s="23" t="str">
        <f t="shared" si="2"/>
        <v>0x74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>
      <c r="A119" s="23" t="s">
        <v>251</v>
      </c>
      <c r="B119" s="23">
        <v>117</v>
      </c>
      <c r="C119" s="23" t="str">
        <f t="shared" si="2"/>
        <v>0x75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>
      <c r="A120" s="22" t="s">
        <v>252</v>
      </c>
      <c r="B120" s="22">
        <v>118</v>
      </c>
      <c r="C120" s="23" t="str">
        <f t="shared" si="2"/>
        <v>0x76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>
      <c r="A121" s="23" t="s">
        <v>253</v>
      </c>
      <c r="B121" s="23">
        <v>119</v>
      </c>
      <c r="C121" s="23" t="str">
        <f t="shared" si="2"/>
        <v>0x77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>
      <c r="A122" s="22" t="s">
        <v>254</v>
      </c>
      <c r="B122" s="22">
        <v>120</v>
      </c>
      <c r="C122" s="23" t="str">
        <f t="shared" si="2"/>
        <v>0x78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>
      <c r="A123" s="23" t="s">
        <v>255</v>
      </c>
      <c r="B123" s="23">
        <v>121</v>
      </c>
      <c r="C123" s="23" t="str">
        <f t="shared" si="2"/>
        <v>0x79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>
      <c r="A124" s="22" t="s">
        <v>256</v>
      </c>
      <c r="B124" s="22">
        <v>122</v>
      </c>
      <c r="C124" s="23" t="str">
        <f t="shared" si="2"/>
        <v>0x7A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>
      <c r="A125" s="23" t="s">
        <v>257</v>
      </c>
      <c r="B125" s="23">
        <v>123</v>
      </c>
      <c r="C125" s="23" t="str">
        <f t="shared" si="2"/>
        <v>0x7B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>
      <c r="A126" s="22" t="s">
        <v>258</v>
      </c>
      <c r="B126" s="22">
        <v>124</v>
      </c>
      <c r="C126" s="23" t="str">
        <f t="shared" si="2"/>
        <v>0x7C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>
      <c r="A127" s="23" t="s">
        <v>259</v>
      </c>
      <c r="B127" s="23">
        <v>125</v>
      </c>
      <c r="C127" s="23" t="str">
        <f t="shared" si="2"/>
        <v>0x7D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>
      <c r="A128" s="22" t="s">
        <v>260</v>
      </c>
      <c r="B128" s="22">
        <v>126</v>
      </c>
      <c r="C128" s="23" t="str">
        <f t="shared" si="2"/>
        <v>0x7E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>
      <c r="A129" s="23" t="s">
        <v>261</v>
      </c>
      <c r="B129" s="23">
        <v>127</v>
      </c>
      <c r="C129" s="23" t="str">
        <f t="shared" si="2"/>
        <v>0x7F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>
      <c r="A130" s="22" t="s">
        <v>262</v>
      </c>
      <c r="B130" s="22">
        <v>128</v>
      </c>
      <c r="C130" s="23" t="str">
        <f t="shared" ref="C130:C193" si="3">_xlfn.CONCAT(IF(B130&gt;15,"0x","0x0"),DEC2HEX(B130))</f>
        <v>0x80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>
      <c r="A131" s="23" t="s">
        <v>263</v>
      </c>
      <c r="B131" s="23">
        <v>129</v>
      </c>
      <c r="C131" s="23" t="str">
        <f t="shared" si="3"/>
        <v>0x81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>
      <c r="A132" s="22" t="s">
        <v>264</v>
      </c>
      <c r="B132" s="22">
        <v>130</v>
      </c>
      <c r="C132" s="23" t="str">
        <f t="shared" si="3"/>
        <v>0x82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>
      <c r="A133" s="23" t="s">
        <v>265</v>
      </c>
      <c r="B133" s="23">
        <v>131</v>
      </c>
      <c r="C133" s="23" t="str">
        <f t="shared" si="3"/>
        <v>0x83</v>
      </c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>
      <c r="A134" s="22" t="s">
        <v>266</v>
      </c>
      <c r="B134" s="22">
        <v>132</v>
      </c>
      <c r="C134" s="23" t="str">
        <f t="shared" si="3"/>
        <v>0x84</v>
      </c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>
      <c r="A135" s="23" t="s">
        <v>267</v>
      </c>
      <c r="B135" s="23">
        <v>133</v>
      </c>
      <c r="C135" s="23" t="str">
        <f t="shared" si="3"/>
        <v>0x85</v>
      </c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>
      <c r="A136" s="22" t="s">
        <v>268</v>
      </c>
      <c r="B136" s="22">
        <v>134</v>
      </c>
      <c r="C136" s="23" t="str">
        <f t="shared" si="3"/>
        <v>0x86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>
      <c r="A137" s="23" t="s">
        <v>269</v>
      </c>
      <c r="B137" s="23">
        <v>135</v>
      </c>
      <c r="C137" s="23" t="str">
        <f t="shared" si="3"/>
        <v>0x87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>
      <c r="A138" s="22" t="s">
        <v>270</v>
      </c>
      <c r="B138" s="22">
        <v>136</v>
      </c>
      <c r="C138" s="23" t="str">
        <f t="shared" si="3"/>
        <v>0x88</v>
      </c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>
      <c r="A139" s="23" t="s">
        <v>271</v>
      </c>
      <c r="B139" s="23">
        <v>137</v>
      </c>
      <c r="C139" s="23" t="str">
        <f t="shared" si="3"/>
        <v>0x89</v>
      </c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>
      <c r="A140" s="22" t="s">
        <v>272</v>
      </c>
      <c r="B140" s="22">
        <v>138</v>
      </c>
      <c r="C140" s="23" t="str">
        <f t="shared" si="3"/>
        <v>0x8A</v>
      </c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>
      <c r="A141" s="23" t="s">
        <v>273</v>
      </c>
      <c r="B141" s="23">
        <v>139</v>
      </c>
      <c r="C141" s="23" t="str">
        <f t="shared" si="3"/>
        <v>0x8B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>
      <c r="A142" s="22" t="s">
        <v>274</v>
      </c>
      <c r="B142" s="22">
        <v>140</v>
      </c>
      <c r="C142" s="23" t="str">
        <f t="shared" si="3"/>
        <v>0x8C</v>
      </c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>
      <c r="A143" s="23" t="s">
        <v>275</v>
      </c>
      <c r="B143" s="23">
        <v>141</v>
      </c>
      <c r="C143" s="23" t="str">
        <f t="shared" si="3"/>
        <v>0x8D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>
      <c r="A144" s="22" t="s">
        <v>276</v>
      </c>
      <c r="B144" s="22">
        <v>142</v>
      </c>
      <c r="C144" s="23" t="str">
        <f t="shared" si="3"/>
        <v>0x8E</v>
      </c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>
      <c r="A145" s="23" t="s">
        <v>277</v>
      </c>
      <c r="B145" s="23">
        <v>143</v>
      </c>
      <c r="C145" s="23" t="str">
        <f t="shared" si="3"/>
        <v>0x8F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>
      <c r="A146" s="22" t="s">
        <v>278</v>
      </c>
      <c r="B146" s="22">
        <v>144</v>
      </c>
      <c r="C146" s="23" t="str">
        <f t="shared" si="3"/>
        <v>0x90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>
      <c r="A147" s="23" t="s">
        <v>279</v>
      </c>
      <c r="B147" s="23">
        <v>145</v>
      </c>
      <c r="C147" s="23" t="str">
        <f t="shared" si="3"/>
        <v>0x91</v>
      </c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>
      <c r="A148" s="22" t="s">
        <v>280</v>
      </c>
      <c r="B148" s="22">
        <v>146</v>
      </c>
      <c r="C148" s="23" t="str">
        <f t="shared" si="3"/>
        <v>0x92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>
      <c r="A149" s="23" t="s">
        <v>281</v>
      </c>
      <c r="B149" s="23">
        <v>147</v>
      </c>
      <c r="C149" s="23" t="str">
        <f t="shared" si="3"/>
        <v>0x93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>
      <c r="A150" s="22" t="s">
        <v>282</v>
      </c>
      <c r="B150" s="22">
        <v>148</v>
      </c>
      <c r="C150" s="23" t="str">
        <f t="shared" si="3"/>
        <v>0x94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>
      <c r="A151" s="23" t="s">
        <v>283</v>
      </c>
      <c r="B151" s="23">
        <v>149</v>
      </c>
      <c r="C151" s="23" t="str">
        <f t="shared" si="3"/>
        <v>0x95</v>
      </c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>
      <c r="A152" s="22" t="s">
        <v>284</v>
      </c>
      <c r="B152" s="22">
        <v>150</v>
      </c>
      <c r="C152" s="23" t="str">
        <f t="shared" si="3"/>
        <v>0x96</v>
      </c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>
      <c r="A153" s="23" t="s">
        <v>285</v>
      </c>
      <c r="B153" s="23">
        <v>151</v>
      </c>
      <c r="C153" s="23" t="str">
        <f t="shared" si="3"/>
        <v>0x97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>
      <c r="A154" s="22" t="s">
        <v>286</v>
      </c>
      <c r="B154" s="22">
        <v>152</v>
      </c>
      <c r="C154" s="23" t="str">
        <f t="shared" si="3"/>
        <v>0x98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>
      <c r="A155" s="23" t="s">
        <v>287</v>
      </c>
      <c r="B155" s="23">
        <v>153</v>
      </c>
      <c r="C155" s="23" t="str">
        <f t="shared" si="3"/>
        <v>0x99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>
      <c r="A156" s="22" t="s">
        <v>288</v>
      </c>
      <c r="B156" s="22">
        <v>154</v>
      </c>
      <c r="C156" s="23" t="str">
        <f t="shared" si="3"/>
        <v>0x9A</v>
      </c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>
      <c r="A157" s="23" t="s">
        <v>289</v>
      </c>
      <c r="B157" s="23">
        <v>155</v>
      </c>
      <c r="C157" s="23" t="str">
        <f t="shared" si="3"/>
        <v>0x9B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>
      <c r="A158" s="22" t="s">
        <v>290</v>
      </c>
      <c r="B158" s="22">
        <v>156</v>
      </c>
      <c r="C158" s="23" t="str">
        <f t="shared" si="3"/>
        <v>0x9C</v>
      </c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>
      <c r="A159" s="23" t="s">
        <v>291</v>
      </c>
      <c r="B159" s="23">
        <v>157</v>
      </c>
      <c r="C159" s="23" t="str">
        <f t="shared" si="3"/>
        <v>0x9D</v>
      </c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>
      <c r="A160" s="22" t="s">
        <v>292</v>
      </c>
      <c r="B160" s="22">
        <v>158</v>
      </c>
      <c r="C160" s="23" t="str">
        <f t="shared" si="3"/>
        <v>0x9E</v>
      </c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>
      <c r="A161" s="23" t="s">
        <v>293</v>
      </c>
      <c r="B161" s="23">
        <v>159</v>
      </c>
      <c r="C161" s="23" t="str">
        <f t="shared" si="3"/>
        <v>0x9F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>
      <c r="A162" s="22" t="s">
        <v>294</v>
      </c>
      <c r="B162" s="22">
        <v>160</v>
      </c>
      <c r="C162" s="23" t="str">
        <f t="shared" si="3"/>
        <v>0xA0</v>
      </c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>
      <c r="A163" s="23" t="s">
        <v>295</v>
      </c>
      <c r="B163" s="23">
        <v>161</v>
      </c>
      <c r="C163" s="23" t="str">
        <f t="shared" si="3"/>
        <v>0xA1</v>
      </c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>
      <c r="A164" s="22" t="s">
        <v>296</v>
      </c>
      <c r="B164" s="22">
        <v>162</v>
      </c>
      <c r="C164" s="23" t="str">
        <f t="shared" si="3"/>
        <v>0xA2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>
      <c r="A165" s="23" t="s">
        <v>297</v>
      </c>
      <c r="B165" s="23">
        <v>163</v>
      </c>
      <c r="C165" s="23" t="str">
        <f t="shared" si="3"/>
        <v>0xA3</v>
      </c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>
      <c r="A166" s="22" t="s">
        <v>298</v>
      </c>
      <c r="B166" s="22">
        <v>164</v>
      </c>
      <c r="C166" s="23" t="str">
        <f t="shared" si="3"/>
        <v>0xA4</v>
      </c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>
      <c r="A167" s="23" t="s">
        <v>299</v>
      </c>
      <c r="B167" s="23">
        <v>165</v>
      </c>
      <c r="C167" s="23" t="str">
        <f t="shared" si="3"/>
        <v>0xA5</v>
      </c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>
      <c r="A168" s="22" t="s">
        <v>300</v>
      </c>
      <c r="B168" s="22">
        <v>166</v>
      </c>
      <c r="C168" s="23" t="str">
        <f t="shared" si="3"/>
        <v>0xA6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>
      <c r="A169" s="23" t="s">
        <v>301</v>
      </c>
      <c r="B169" s="23">
        <v>167</v>
      </c>
      <c r="C169" s="23" t="str">
        <f t="shared" si="3"/>
        <v>0xA7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>
      <c r="A170" s="22" t="s">
        <v>302</v>
      </c>
      <c r="B170" s="22">
        <v>168</v>
      </c>
      <c r="C170" s="23" t="str">
        <f t="shared" si="3"/>
        <v>0xA8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>
      <c r="A171" s="23" t="s">
        <v>249</v>
      </c>
      <c r="B171" s="23">
        <v>169</v>
      </c>
      <c r="C171" s="23" t="str">
        <f t="shared" si="3"/>
        <v>0xA9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>
      <c r="A172" s="22" t="s">
        <v>250</v>
      </c>
      <c r="B172" s="22">
        <v>170</v>
      </c>
      <c r="C172" s="23" t="str">
        <f t="shared" si="3"/>
        <v>0xAA</v>
      </c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>
      <c r="A173" s="23" t="s">
        <v>303</v>
      </c>
      <c r="B173" s="23">
        <v>171</v>
      </c>
      <c r="C173" s="23" t="str">
        <f t="shared" si="3"/>
        <v>0xAB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>
      <c r="A174" s="22" t="s">
        <v>304</v>
      </c>
      <c r="B174" s="22">
        <v>172</v>
      </c>
      <c r="C174" s="23" t="str">
        <f t="shared" si="3"/>
        <v>0xAC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>
      <c r="A175" s="23" t="s">
        <v>255</v>
      </c>
      <c r="B175" s="23">
        <v>173</v>
      </c>
      <c r="C175" s="23" t="str">
        <f t="shared" si="3"/>
        <v>0xAD</v>
      </c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>
      <c r="A176" s="22" t="s">
        <v>256</v>
      </c>
      <c r="B176" s="22">
        <v>174</v>
      </c>
      <c r="C176" s="23" t="str">
        <f t="shared" si="3"/>
        <v>0xAE</v>
      </c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>
      <c r="A177" s="23" t="s">
        <v>305</v>
      </c>
      <c r="B177" s="23">
        <v>175</v>
      </c>
      <c r="C177" s="23" t="str">
        <f t="shared" si="3"/>
        <v>0xAF</v>
      </c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>
      <c r="A178" s="22" t="s">
        <v>306</v>
      </c>
      <c r="B178" s="22">
        <v>176</v>
      </c>
      <c r="C178" s="23" t="str">
        <f t="shared" si="3"/>
        <v>0xB0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>
      <c r="A179" s="23" t="s">
        <v>307</v>
      </c>
      <c r="B179" s="23">
        <v>177</v>
      </c>
      <c r="C179" s="23" t="str">
        <f t="shared" si="3"/>
        <v>0xB1</v>
      </c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>
      <c r="A180" s="22" t="s">
        <v>308</v>
      </c>
      <c r="B180" s="22">
        <v>178</v>
      </c>
      <c r="C180" s="23" t="str">
        <f t="shared" si="3"/>
        <v>0xB2</v>
      </c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>
      <c r="A181" s="23" t="s">
        <v>309</v>
      </c>
      <c r="B181" s="23">
        <v>179</v>
      </c>
      <c r="C181" s="23" t="str">
        <f t="shared" si="3"/>
        <v>0xB3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>
      <c r="A182" s="22" t="s">
        <v>310</v>
      </c>
      <c r="B182" s="22">
        <v>180</v>
      </c>
      <c r="C182" s="23" t="str">
        <f t="shared" si="3"/>
        <v>0xB4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>
      <c r="A183" s="23" t="s">
        <v>311</v>
      </c>
      <c r="B183" s="23">
        <v>181</v>
      </c>
      <c r="C183" s="23" t="str">
        <f t="shared" si="3"/>
        <v>0xB5</v>
      </c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>
      <c r="A184" s="22" t="s">
        <v>312</v>
      </c>
      <c r="B184" s="22">
        <v>182</v>
      </c>
      <c r="C184" s="23" t="str">
        <f t="shared" si="3"/>
        <v>0xB6</v>
      </c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>
      <c r="A185" s="23" t="s">
        <v>313</v>
      </c>
      <c r="B185" s="23">
        <v>183</v>
      </c>
      <c r="C185" s="23" t="str">
        <f t="shared" si="3"/>
        <v>0xB7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>
      <c r="A186" s="22" t="s">
        <v>314</v>
      </c>
      <c r="B186" s="22">
        <v>184</v>
      </c>
      <c r="C186" s="23" t="str">
        <f t="shared" si="3"/>
        <v>0xB8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>
      <c r="A187" s="23" t="s">
        <v>315</v>
      </c>
      <c r="B187" s="23">
        <v>185</v>
      </c>
      <c r="C187" s="23" t="str">
        <f t="shared" si="3"/>
        <v>0xB9</v>
      </c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>
      <c r="A188" s="22" t="s">
        <v>316</v>
      </c>
      <c r="B188" s="22">
        <v>186</v>
      </c>
      <c r="C188" s="23" t="str">
        <f t="shared" si="3"/>
        <v>0xBA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>
      <c r="A189" s="23" t="s">
        <v>317</v>
      </c>
      <c r="B189" s="23">
        <v>187</v>
      </c>
      <c r="C189" s="23" t="str">
        <f t="shared" si="3"/>
        <v>0xBB</v>
      </c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>
      <c r="A190" s="22" t="s">
        <v>318</v>
      </c>
      <c r="B190" s="22">
        <v>188</v>
      </c>
      <c r="C190" s="23" t="str">
        <f t="shared" si="3"/>
        <v>0xBC</v>
      </c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>
      <c r="A191" s="23" t="s">
        <v>319</v>
      </c>
      <c r="B191" s="23">
        <v>189</v>
      </c>
      <c r="C191" s="23" t="str">
        <f t="shared" si="3"/>
        <v>0xBD</v>
      </c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>
      <c r="A192" s="22" t="s">
        <v>320</v>
      </c>
      <c r="B192" s="22">
        <v>190</v>
      </c>
      <c r="C192" s="23" t="str">
        <f t="shared" si="3"/>
        <v>0xBE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>
      <c r="A193" s="23" t="s">
        <v>321</v>
      </c>
      <c r="B193" s="23">
        <v>191</v>
      </c>
      <c r="C193" s="23" t="str">
        <f t="shared" si="3"/>
        <v>0xBF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>
      <c r="A194" s="22" t="s">
        <v>322</v>
      </c>
      <c r="B194" s="22">
        <v>192</v>
      </c>
      <c r="C194" s="23" t="str">
        <f t="shared" ref="C194:C235" si="4">_xlfn.CONCAT(IF(B194&gt;15,"0x","0x0"),DEC2HEX(B194))</f>
        <v>0xC0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>
      <c r="A195" s="23" t="s">
        <v>323</v>
      </c>
      <c r="B195" s="23">
        <v>193</v>
      </c>
      <c r="C195" s="23" t="str">
        <f t="shared" si="4"/>
        <v>0xC1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>
      <c r="A196" s="22" t="s">
        <v>324</v>
      </c>
      <c r="B196" s="22">
        <v>194</v>
      </c>
      <c r="C196" s="23" t="str">
        <f t="shared" si="4"/>
        <v>0xC2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>
      <c r="A197" s="23" t="s">
        <v>325</v>
      </c>
      <c r="B197" s="23">
        <v>195</v>
      </c>
      <c r="C197" s="23" t="str">
        <f t="shared" si="4"/>
        <v>0xC3</v>
      </c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>
      <c r="A198" s="22" t="s">
        <v>326</v>
      </c>
      <c r="B198" s="22">
        <v>196</v>
      </c>
      <c r="C198" s="23" t="str">
        <f t="shared" si="4"/>
        <v>0xC4</v>
      </c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>
      <c r="A199" s="23" t="s">
        <v>327</v>
      </c>
      <c r="B199" s="23">
        <v>197</v>
      </c>
      <c r="C199" s="23" t="str">
        <f t="shared" si="4"/>
        <v>0xC5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>
      <c r="A200" s="22" t="s">
        <v>328</v>
      </c>
      <c r="B200" s="22">
        <v>198</v>
      </c>
      <c r="C200" s="23" t="str">
        <f t="shared" si="4"/>
        <v>0xC6</v>
      </c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>
      <c r="A201" s="23" t="s">
        <v>329</v>
      </c>
      <c r="B201" s="23">
        <v>199</v>
      </c>
      <c r="C201" s="23" t="str">
        <f t="shared" si="4"/>
        <v>0xC7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>
      <c r="A202" s="22" t="s">
        <v>330</v>
      </c>
      <c r="B202" s="22">
        <v>200</v>
      </c>
      <c r="C202" s="23" t="str">
        <f t="shared" si="4"/>
        <v>0xC8</v>
      </c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>
      <c r="A203" s="23" t="s">
        <v>331</v>
      </c>
      <c r="B203" s="23">
        <v>201</v>
      </c>
      <c r="C203" s="23" t="str">
        <f t="shared" si="4"/>
        <v>0xC9</v>
      </c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>
      <c r="A204" s="22" t="s">
        <v>332</v>
      </c>
      <c r="B204" s="22">
        <v>202</v>
      </c>
      <c r="C204" s="23" t="str">
        <f t="shared" si="4"/>
        <v>0xCA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>
      <c r="A205" s="23" t="s">
        <v>333</v>
      </c>
      <c r="B205" s="23">
        <v>203</v>
      </c>
      <c r="C205" s="23" t="str">
        <f t="shared" si="4"/>
        <v>0xCB</v>
      </c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>
      <c r="A206" s="22" t="s">
        <v>334</v>
      </c>
      <c r="B206" s="22">
        <v>204</v>
      </c>
      <c r="C206" s="23" t="str">
        <f t="shared" si="4"/>
        <v>0xCC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>
      <c r="A207" s="23" t="s">
        <v>335</v>
      </c>
      <c r="B207" s="23">
        <v>205</v>
      </c>
      <c r="C207" s="23" t="str">
        <f t="shared" si="4"/>
        <v>0xCD</v>
      </c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>
      <c r="A208" s="22" t="s">
        <v>336</v>
      </c>
      <c r="B208" s="22">
        <v>206</v>
      </c>
      <c r="C208" s="23" t="str">
        <f t="shared" si="4"/>
        <v>0xCE</v>
      </c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>
      <c r="A209" s="23" t="s">
        <v>337</v>
      </c>
      <c r="B209" s="23">
        <v>207</v>
      </c>
      <c r="C209" s="23" t="str">
        <f t="shared" si="4"/>
        <v>0xCF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>
      <c r="A210" s="22" t="s">
        <v>338</v>
      </c>
      <c r="B210" s="22">
        <v>208</v>
      </c>
      <c r="C210" s="23" t="str">
        <f t="shared" si="4"/>
        <v>0xD0</v>
      </c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>
      <c r="A211" s="23" t="s">
        <v>339</v>
      </c>
      <c r="B211" s="23">
        <v>209</v>
      </c>
      <c r="C211" s="23" t="str">
        <f t="shared" si="4"/>
        <v>0xD1</v>
      </c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>
      <c r="A212" s="22" t="s">
        <v>340</v>
      </c>
      <c r="B212" s="22">
        <v>210</v>
      </c>
      <c r="C212" s="23" t="str">
        <f t="shared" si="4"/>
        <v>0xD2</v>
      </c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>
      <c r="A213" s="23" t="s">
        <v>341</v>
      </c>
      <c r="B213" s="23">
        <v>211</v>
      </c>
      <c r="C213" s="23" t="str">
        <f t="shared" si="4"/>
        <v>0xD3</v>
      </c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>
      <c r="A214" s="22" t="s">
        <v>342</v>
      </c>
      <c r="B214" s="22">
        <v>212</v>
      </c>
      <c r="C214" s="23" t="str">
        <f t="shared" si="4"/>
        <v>0xD4</v>
      </c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>
      <c r="A215" s="23" t="s">
        <v>343</v>
      </c>
      <c r="B215" s="23">
        <v>213</v>
      </c>
      <c r="C215" s="23" t="str">
        <f t="shared" si="4"/>
        <v>0xD5</v>
      </c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>
      <c r="A216" s="23" t="s">
        <v>344</v>
      </c>
      <c r="B216" s="23">
        <v>214</v>
      </c>
      <c r="C216" s="23" t="str">
        <f t="shared" si="4"/>
        <v>0xD6</v>
      </c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>
      <c r="A217" s="23" t="s">
        <v>345</v>
      </c>
      <c r="B217" s="23">
        <v>215</v>
      </c>
      <c r="C217" s="23" t="str">
        <f t="shared" si="4"/>
        <v>0xD7</v>
      </c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>
      <c r="A218" s="23" t="s">
        <v>346</v>
      </c>
      <c r="B218" s="23">
        <v>216</v>
      </c>
      <c r="C218" s="23" t="str">
        <f t="shared" si="4"/>
        <v>0xD8</v>
      </c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>
      <c r="A219" s="23" t="s">
        <v>347</v>
      </c>
      <c r="B219" s="23">
        <v>217</v>
      </c>
      <c r="C219" s="23" t="str">
        <f t="shared" si="4"/>
        <v>0xD9</v>
      </c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>
      <c r="A220" s="23" t="s">
        <v>348</v>
      </c>
      <c r="B220" s="23">
        <v>218</v>
      </c>
      <c r="C220" s="23" t="str">
        <f t="shared" si="4"/>
        <v>0xDA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>
      <c r="A221" s="23" t="s">
        <v>349</v>
      </c>
      <c r="B221" s="23">
        <v>219</v>
      </c>
      <c r="C221" s="23" t="str">
        <f t="shared" si="4"/>
        <v>0xDB</v>
      </c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>
      <c r="A222" s="23" t="s">
        <v>350</v>
      </c>
      <c r="B222" s="23">
        <v>220</v>
      </c>
      <c r="C222" s="23" t="str">
        <f t="shared" si="4"/>
        <v>0xDC</v>
      </c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>
      <c r="A223" s="23" t="s">
        <v>351</v>
      </c>
      <c r="B223" s="23">
        <v>221</v>
      </c>
      <c r="C223" s="23" t="str">
        <f t="shared" si="4"/>
        <v>0xDD</v>
      </c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>
      <c r="A224" s="23" t="s">
        <v>352</v>
      </c>
      <c r="B224" s="23">
        <v>222</v>
      </c>
      <c r="C224" s="23" t="str">
        <f t="shared" si="4"/>
        <v>0xDE</v>
      </c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>
      <c r="A225" s="23" t="s">
        <v>353</v>
      </c>
      <c r="B225" s="23">
        <v>223</v>
      </c>
      <c r="C225" s="23" t="str">
        <f t="shared" si="4"/>
        <v>0xDF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>
      <c r="A226" s="23" t="s">
        <v>354</v>
      </c>
      <c r="B226" s="23">
        <v>224</v>
      </c>
      <c r="C226" s="23" t="str">
        <f t="shared" si="4"/>
        <v>0xE0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>
      <c r="A227" s="23" t="s">
        <v>355</v>
      </c>
      <c r="B227" s="23">
        <v>225</v>
      </c>
      <c r="C227" s="23" t="str">
        <f t="shared" si="4"/>
        <v>0xE1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>
      <c r="A228" s="23" t="s">
        <v>356</v>
      </c>
      <c r="B228" s="23">
        <v>226</v>
      </c>
      <c r="C228" s="23" t="str">
        <f t="shared" si="4"/>
        <v>0xE2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>
      <c r="A229" s="23" t="s">
        <v>357</v>
      </c>
      <c r="B229" s="23">
        <v>227</v>
      </c>
      <c r="C229" s="23" t="str">
        <f t="shared" si="4"/>
        <v>0xE3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>
      <c r="A230" s="23" t="s">
        <v>358</v>
      </c>
      <c r="B230" s="23">
        <v>228</v>
      </c>
      <c r="C230" s="23" t="str">
        <f t="shared" si="4"/>
        <v>0xE4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>
      <c r="A231" s="23" t="s">
        <v>359</v>
      </c>
      <c r="B231" s="23">
        <v>229</v>
      </c>
      <c r="C231" s="23" t="str">
        <f t="shared" si="4"/>
        <v>0xE5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>
      <c r="A232" s="23" t="s">
        <v>360</v>
      </c>
      <c r="B232" s="23">
        <v>230</v>
      </c>
      <c r="C232" s="23" t="str">
        <f t="shared" si="4"/>
        <v>0xE6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>
      <c r="A233" s="23" t="s">
        <v>361</v>
      </c>
      <c r="B233" s="23">
        <v>231</v>
      </c>
      <c r="C233" s="23" t="str">
        <f t="shared" si="4"/>
        <v>0xE7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>
      <c r="A234" s="23" t="s">
        <v>362</v>
      </c>
      <c r="B234" s="23">
        <v>232</v>
      </c>
      <c r="C234" s="23" t="str">
        <f t="shared" si="4"/>
        <v>0xE8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>
      <c r="A235" s="23" t="s">
        <v>363</v>
      </c>
      <c r="B235" s="23">
        <v>233</v>
      </c>
      <c r="C235" s="23" t="str">
        <f t="shared" si="4"/>
        <v>0xE9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6" sqref="A16"/>
    </sheetView>
  </sheetViews>
  <sheetFormatPr defaultColWidth="9.23076923076923" defaultRowHeight="16.8" outlineLevelRow="7" outlineLevelCol="6"/>
  <cols>
    <col min="1" max="1" width="38.6153846153846" customWidth="1"/>
    <col min="2" max="2" width="15.7019230769231" customWidth="1"/>
    <col min="3" max="3" width="32.8461538461538" customWidth="1"/>
  </cols>
  <sheetData>
    <row r="1" spans="1:7">
      <c r="A1" s="3" t="s">
        <v>364</v>
      </c>
      <c r="B1" s="4"/>
      <c r="C1" s="4"/>
      <c r="D1" s="4"/>
      <c r="E1" s="4"/>
      <c r="F1" s="4"/>
      <c r="G1" s="4"/>
    </row>
    <row r="2" spans="1:7">
      <c r="A2" s="5"/>
      <c r="B2" s="6"/>
      <c r="C2" s="6"/>
      <c r="D2" s="6"/>
      <c r="E2" s="6"/>
      <c r="F2" s="6"/>
      <c r="G2" s="16"/>
    </row>
    <row r="3" spans="1:7">
      <c r="A3" s="7" t="s">
        <v>365</v>
      </c>
      <c r="B3" s="8" t="s">
        <v>366</v>
      </c>
      <c r="C3" s="9"/>
      <c r="D3" s="9"/>
      <c r="E3" s="9"/>
      <c r="F3" s="9"/>
      <c r="G3" s="17"/>
    </row>
    <row r="4" spans="1:7">
      <c r="A4" s="10"/>
      <c r="B4" s="9"/>
      <c r="C4" s="9"/>
      <c r="D4" s="9"/>
      <c r="E4" s="9"/>
      <c r="F4" s="9"/>
      <c r="G4" s="17"/>
    </row>
    <row r="5" spans="1:7">
      <c r="A5" s="7" t="s">
        <v>367</v>
      </c>
      <c r="B5" s="11" t="s">
        <v>368</v>
      </c>
      <c r="C5" s="12" t="s">
        <v>369</v>
      </c>
      <c r="D5" s="12"/>
      <c r="E5" s="9"/>
      <c r="F5" s="9"/>
      <c r="G5" s="17"/>
    </row>
    <row r="6" spans="1:7">
      <c r="A6" s="10"/>
      <c r="B6" s="9"/>
      <c r="C6" s="13"/>
      <c r="D6" s="13"/>
      <c r="E6" s="13"/>
      <c r="F6" s="13"/>
      <c r="G6" s="18"/>
    </row>
    <row r="7" spans="1:7">
      <c r="A7" s="7" t="s">
        <v>367</v>
      </c>
      <c r="B7" s="11" t="s">
        <v>370</v>
      </c>
      <c r="C7" s="12" t="s">
        <v>371</v>
      </c>
      <c r="D7" s="12"/>
      <c r="E7" s="12"/>
      <c r="F7" s="12"/>
      <c r="G7" s="19"/>
    </row>
    <row r="8" spans="1:7">
      <c r="A8" s="14"/>
      <c r="B8" s="15"/>
      <c r="C8" s="15"/>
      <c r="D8" s="15"/>
      <c r="E8" s="20"/>
      <c r="F8" s="20"/>
      <c r="G8" s="21"/>
    </row>
  </sheetData>
  <mergeCells count="2">
    <mergeCell ref="C5:D5"/>
    <mergeCell ref="C7:G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D8" sqref="D8"/>
    </sheetView>
  </sheetViews>
  <sheetFormatPr defaultColWidth="9.23076923076923" defaultRowHeight="16.8" outlineLevelCol="1"/>
  <cols>
    <col min="1" max="1" width="37.8173076923077" customWidth="1"/>
  </cols>
  <sheetData>
    <row r="1" spans="1:2">
      <c r="A1" s="1" t="s">
        <v>372</v>
      </c>
      <c r="B1" s="1" t="s">
        <v>373</v>
      </c>
    </row>
    <row r="2" spans="1:2">
      <c r="A2" s="2" t="s">
        <v>374</v>
      </c>
      <c r="B2" s="1" t="s">
        <v>23</v>
      </c>
    </row>
    <row r="3" spans="1:2">
      <c r="A3" s="2" t="s">
        <v>375</v>
      </c>
      <c r="B3" s="1" t="s">
        <v>27</v>
      </c>
    </row>
    <row r="4" spans="1:2">
      <c r="A4" s="2" t="s">
        <v>376</v>
      </c>
      <c r="B4" s="1" t="s">
        <v>29</v>
      </c>
    </row>
    <row r="5" spans="1:2">
      <c r="A5" s="2" t="s">
        <v>377</v>
      </c>
      <c r="B5" s="1" t="s">
        <v>32</v>
      </c>
    </row>
    <row r="6" spans="1:2">
      <c r="A6" s="2" t="s">
        <v>378</v>
      </c>
      <c r="B6" s="1" t="s">
        <v>37</v>
      </c>
    </row>
    <row r="7" spans="1:2">
      <c r="A7" s="2" t="s">
        <v>379</v>
      </c>
      <c r="B7" s="1" t="s">
        <v>42</v>
      </c>
    </row>
    <row r="8" spans="1:2">
      <c r="A8" s="2" t="s">
        <v>380</v>
      </c>
      <c r="B8" s="1" t="s">
        <v>46</v>
      </c>
    </row>
    <row r="9" spans="1:2">
      <c r="A9" s="2" t="s">
        <v>381</v>
      </c>
      <c r="B9" s="1" t="s">
        <v>49</v>
      </c>
    </row>
    <row r="10" spans="1:2">
      <c r="A10" s="2" t="s">
        <v>382</v>
      </c>
      <c r="B10" s="1" t="s">
        <v>53</v>
      </c>
    </row>
    <row r="11" spans="1:2">
      <c r="A11" s="2" t="s">
        <v>383</v>
      </c>
      <c r="B11" s="1" t="s">
        <v>384</v>
      </c>
    </row>
    <row r="12" spans="1:2">
      <c r="A12" s="2" t="s">
        <v>385</v>
      </c>
      <c r="B12" s="1" t="s">
        <v>386</v>
      </c>
    </row>
    <row r="13" spans="1:2">
      <c r="A13" s="2" t="s">
        <v>387</v>
      </c>
      <c r="B13" s="1" t="s">
        <v>388</v>
      </c>
    </row>
    <row r="14" spans="1:2">
      <c r="A14" s="2" t="s">
        <v>389</v>
      </c>
      <c r="B14" s="1" t="s">
        <v>390</v>
      </c>
    </row>
    <row r="15" spans="1:2">
      <c r="A15" s="2" t="s">
        <v>391</v>
      </c>
      <c r="B15" s="1" t="s">
        <v>392</v>
      </c>
    </row>
    <row r="16" spans="1:2">
      <c r="A16" s="2" t="s">
        <v>393</v>
      </c>
      <c r="B16" s="1" t="s">
        <v>394</v>
      </c>
    </row>
    <row r="17" spans="1:2">
      <c r="A17" s="2" t="s">
        <v>148</v>
      </c>
      <c r="B17" s="1" t="s">
        <v>395</v>
      </c>
    </row>
    <row r="18" spans="1:2">
      <c r="A18" s="2" t="s">
        <v>396</v>
      </c>
      <c r="B18" s="1" t="s">
        <v>397</v>
      </c>
    </row>
    <row r="19" spans="1:2">
      <c r="A19" s="2" t="s">
        <v>122</v>
      </c>
      <c r="B19" s="1" t="s">
        <v>398</v>
      </c>
    </row>
    <row r="20" spans="1:2">
      <c r="A20" s="2" t="s">
        <v>399</v>
      </c>
      <c r="B20" s="1" t="s">
        <v>400</v>
      </c>
    </row>
    <row r="21" spans="1:2">
      <c r="A21" s="2" t="s">
        <v>401</v>
      </c>
      <c r="B21" s="1" t="s">
        <v>402</v>
      </c>
    </row>
    <row r="22" spans="1:2">
      <c r="A22" s="2" t="s">
        <v>132</v>
      </c>
      <c r="B22" s="1" t="s">
        <v>403</v>
      </c>
    </row>
    <row r="23" spans="1:2">
      <c r="A23" s="2" t="s">
        <v>162</v>
      </c>
      <c r="B23" s="1" t="s">
        <v>80</v>
      </c>
    </row>
    <row r="24" spans="1:2">
      <c r="A24" s="2" t="s">
        <v>404</v>
      </c>
      <c r="B24" s="1" t="s">
        <v>405</v>
      </c>
    </row>
    <row r="25" spans="1:2">
      <c r="A25" s="2" t="s">
        <v>406</v>
      </c>
      <c r="B25" s="1" t="s">
        <v>407</v>
      </c>
    </row>
    <row r="26" spans="1:2">
      <c r="A26" s="2" t="s">
        <v>146</v>
      </c>
      <c r="B26" s="1" t="s">
        <v>408</v>
      </c>
    </row>
    <row r="27" spans="1:2">
      <c r="A27" s="2" t="s">
        <v>409</v>
      </c>
      <c r="B27" s="1" t="s">
        <v>410</v>
      </c>
    </row>
    <row r="28" spans="1:2">
      <c r="A28" s="2" t="s">
        <v>154</v>
      </c>
      <c r="B28" s="1" t="s">
        <v>411</v>
      </c>
    </row>
    <row r="29" spans="1:2">
      <c r="A29" s="2" t="s">
        <v>412</v>
      </c>
      <c r="B29" s="1" t="s">
        <v>413</v>
      </c>
    </row>
    <row r="30" spans="1:2">
      <c r="A30" s="2" t="s">
        <v>152</v>
      </c>
      <c r="B30" s="1" t="s">
        <v>414</v>
      </c>
    </row>
    <row r="31" spans="1:2">
      <c r="A31" s="2" t="s">
        <v>415</v>
      </c>
      <c r="B31" s="1" t="s">
        <v>416</v>
      </c>
    </row>
    <row r="32" spans="1:2">
      <c r="A32" s="2" t="s">
        <v>94</v>
      </c>
      <c r="B32" s="1" t="s">
        <v>417</v>
      </c>
    </row>
    <row r="33" spans="1:2">
      <c r="A33" s="2" t="s">
        <v>97</v>
      </c>
      <c r="B33" s="1" t="s">
        <v>418</v>
      </c>
    </row>
    <row r="34" spans="1:2">
      <c r="A34" s="2" t="s">
        <v>103</v>
      </c>
      <c r="B34" s="1" t="s">
        <v>419</v>
      </c>
    </row>
    <row r="35" spans="1:2">
      <c r="A35" s="2" t="s">
        <v>118</v>
      </c>
      <c r="B35" s="1" t="s">
        <v>420</v>
      </c>
    </row>
    <row r="36" spans="1:2">
      <c r="A36" s="2" t="s">
        <v>142</v>
      </c>
      <c r="B36" s="1" t="s">
        <v>421</v>
      </c>
    </row>
    <row r="37" spans="1:2">
      <c r="A37" s="2" t="s">
        <v>138</v>
      </c>
      <c r="B37" s="1" t="s">
        <v>422</v>
      </c>
    </row>
    <row r="38" spans="1:2">
      <c r="A38" s="2" t="s">
        <v>136</v>
      </c>
      <c r="B38" s="1" t="s">
        <v>423</v>
      </c>
    </row>
    <row r="39" spans="1:2">
      <c r="A39" s="2" t="s">
        <v>424</v>
      </c>
      <c r="B39" s="1" t="s">
        <v>425</v>
      </c>
    </row>
    <row r="40" spans="1:2">
      <c r="A40" s="2" t="s">
        <v>140</v>
      </c>
      <c r="B40" s="1" t="s">
        <v>426</v>
      </c>
    </row>
    <row r="41" spans="1:2">
      <c r="A41" s="2" t="s">
        <v>109</v>
      </c>
      <c r="B41" s="1" t="s">
        <v>427</v>
      </c>
    </row>
    <row r="42" spans="1:2">
      <c r="A42" s="2" t="s">
        <v>120</v>
      </c>
      <c r="B42" s="1" t="s">
        <v>76</v>
      </c>
    </row>
    <row r="43" spans="1:2">
      <c r="A43" s="2" t="s">
        <v>144</v>
      </c>
      <c r="B43" s="1" t="s">
        <v>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BLE协议</vt:lpstr>
      <vt:lpstr>模式值</vt:lpstr>
      <vt:lpstr>BLE服务</vt:lpstr>
      <vt:lpstr>桌灯场景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zwy</dc:creator>
  <cp:lastModifiedBy>zwy</cp:lastModifiedBy>
  <dcterms:created xsi:type="dcterms:W3CDTF">2026-03-18T06:31:00Z</dcterms:created>
  <dcterms:modified xsi:type="dcterms:W3CDTF">2026-03-17T15:19:47Z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ECF1C1741C3324692FF5B86997F366B7_41</vt:lpwstr>
  </property>
  <property fmtid="{D5CDD505-2E9C-101B-9397-08002B2CF9AE}" pid="3" name="KSOProductBuildVer">
    <vt:lpwstr>2052-6.11.0.8885</vt:lpwstr>
  </property>
</Properties>
</file>